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80D6E51D-90EF-44CA-A65C-26D20FA3A7B9}" xr6:coauthVersionLast="47" xr6:coauthVersionMax="47" xr10:uidLastSave="{00000000-0000-0000-0000-000000000000}"/>
  <bookViews>
    <workbookView xWindow="-120" yWindow="-120" windowWidth="29040" windowHeight="15720" firstSheet="7" activeTab="7" xr2:uid="{8B9F16D4-16EE-4432-8981-BC141ED3577D}"/>
  </bookViews>
  <sheets>
    <sheet name="RENOVACIÓN TC FCS" sheetId="1" state="hidden" r:id="rId1"/>
    <sheet name="RENOVACIÓN TP FCS" sheetId="3" state="hidden" r:id="rId2"/>
    <sheet name="RENOVAC TC FICA" sheetId="4" r:id="rId3"/>
    <sheet name="RENOVAC TP FICA" sheetId="5" r:id="rId4"/>
    <sheet name="CONCURSO" sheetId="8" r:id="rId5"/>
    <sheet name="INVITACION" sheetId="7" r:id="rId6"/>
    <sheet name="REINCORPORACION" sheetId="9" r:id="rId7"/>
    <sheet name="OGTH" sheetId="6" r:id="rId8"/>
    <sheet name="%D" sheetId="10" r:id="rId9"/>
    <sheet name="RENOVACIÓN TC Contrat anticipad" sheetId="2" state="hidden" r:id="rId10"/>
  </sheets>
  <externalReferences>
    <externalReference r:id="rId11"/>
  </externalReferences>
  <definedNames>
    <definedName name="_xlnm._FilterDatabase" localSheetId="7" hidden="1">OGTH!$B$6:$AI$154</definedName>
    <definedName name="_xlnm._FilterDatabase" localSheetId="0" hidden="1">'RENOVACIÓN TC FCS'!$B$8:$P$8</definedName>
    <definedName name="_xlnm._FilterDatabase" localSheetId="1" hidden="1">'RENOVACIÓN TP FCS'!$B$8:$M$137</definedName>
    <definedName name="_xlnm.Print_Titles" localSheetId="9">'RENOVACIÓN TC Contrat anticipad'!$1:$9</definedName>
    <definedName name="_xlnm.Print_Titles" localSheetId="0">'RENOVACIÓN TC FCS'!$6:$8</definedName>
    <definedName name="_xlnm.Print_Titles" localSheetId="1">'RENOVACIÓN TP FCS'!$6:$8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0" l="1"/>
  <c r="I37" i="10"/>
  <c r="H37" i="10"/>
  <c r="G37" i="10"/>
  <c r="F37" i="10"/>
  <c r="E37" i="10"/>
  <c r="D37" i="10"/>
  <c r="C37" i="10"/>
  <c r="J36" i="10"/>
  <c r="I36" i="10"/>
  <c r="H36" i="10"/>
  <c r="G36" i="10"/>
  <c r="F36" i="10"/>
  <c r="E36" i="10"/>
  <c r="D36" i="10"/>
  <c r="C36" i="10"/>
  <c r="I27" i="10"/>
  <c r="H27" i="10"/>
  <c r="G27" i="10"/>
  <c r="F27" i="10"/>
  <c r="E27" i="10"/>
  <c r="D27" i="10"/>
  <c r="C27" i="10"/>
  <c r="I26" i="10"/>
  <c r="H26" i="10"/>
  <c r="G26" i="10"/>
  <c r="F26" i="10"/>
  <c r="E26" i="10"/>
  <c r="D26" i="10"/>
  <c r="C26" i="10"/>
  <c r="H17" i="10"/>
  <c r="G17" i="10"/>
  <c r="F17" i="10"/>
  <c r="E17" i="10"/>
  <c r="D17" i="10"/>
  <c r="C17" i="10"/>
  <c r="H16" i="10"/>
  <c r="G16" i="10"/>
  <c r="F16" i="10"/>
  <c r="E16" i="10"/>
  <c r="D16" i="10"/>
  <c r="C16" i="10"/>
  <c r="D7" i="10"/>
  <c r="C7" i="10"/>
  <c r="D6" i="10"/>
  <c r="C6" i="10"/>
  <c r="K11" i="4"/>
  <c r="K10" i="4" l="1"/>
  <c r="E7" i="10" l="1"/>
  <c r="G28" i="10"/>
  <c r="G29" i="10" s="1"/>
  <c r="F28" i="10"/>
  <c r="F30" i="10" s="1"/>
  <c r="K36" i="10"/>
  <c r="K37" i="10"/>
  <c r="E6" i="10"/>
  <c r="J26" i="10"/>
  <c r="J27" i="10"/>
  <c r="I17" i="10"/>
  <c r="I16" i="10"/>
  <c r="E28" i="10"/>
  <c r="E30" i="10" s="1"/>
  <c r="E38" i="10"/>
  <c r="E40" i="10" s="1"/>
  <c r="G38" i="10"/>
  <c r="G39" i="10" s="1"/>
  <c r="J38" i="10"/>
  <c r="J40" i="10" s="1"/>
  <c r="I38" i="10"/>
  <c r="I40" i="10" s="1"/>
  <c r="H38" i="10"/>
  <c r="H40" i="10" s="1"/>
  <c r="F38" i="10"/>
  <c r="F40" i="10" s="1"/>
  <c r="I28" i="10"/>
  <c r="I29" i="10" s="1"/>
  <c r="H28" i="10"/>
  <c r="H30" i="10" s="1"/>
  <c r="D18" i="10"/>
  <c r="D20" i="10" s="1"/>
  <c r="D38" i="10"/>
  <c r="D40" i="10" s="1"/>
  <c r="C38" i="10"/>
  <c r="C39" i="10" s="1"/>
  <c r="H18" i="10"/>
  <c r="H20" i="10" s="1"/>
  <c r="D28" i="10"/>
  <c r="D29" i="10" s="1"/>
  <c r="C28" i="10"/>
  <c r="C30" i="10" s="1"/>
  <c r="G18" i="10"/>
  <c r="G20" i="10" s="1"/>
  <c r="F18" i="10"/>
  <c r="F19" i="10" s="1"/>
  <c r="E18" i="10"/>
  <c r="E19" i="10" s="1"/>
  <c r="C18" i="10"/>
  <c r="C20" i="10" s="1"/>
  <c r="D8" i="10"/>
  <c r="D10" i="10" s="1"/>
  <c r="C8" i="10"/>
  <c r="C10" i="10" s="1"/>
  <c r="I18" i="10" l="1"/>
  <c r="J16" i="10" s="1"/>
  <c r="J28" i="10"/>
  <c r="K27" i="10" s="1"/>
  <c r="K38" i="10"/>
  <c r="L37" i="10" s="1"/>
  <c r="C46" i="10"/>
  <c r="F29" i="10"/>
  <c r="F31" i="10" s="1"/>
  <c r="G30" i="10"/>
  <c r="G31" i="10" s="1"/>
  <c r="I39" i="10"/>
  <c r="I41" i="10" s="1"/>
  <c r="C45" i="10"/>
  <c r="E29" i="10"/>
  <c r="E31" i="10" s="1"/>
  <c r="D39" i="10"/>
  <c r="D41" i="10" s="1"/>
  <c r="E39" i="10"/>
  <c r="E41" i="10" s="1"/>
  <c r="J39" i="10"/>
  <c r="J41" i="10" s="1"/>
  <c r="E8" i="10"/>
  <c r="F6" i="10" s="1"/>
  <c r="H19" i="10"/>
  <c r="H21" i="10" s="1"/>
  <c r="G40" i="10"/>
  <c r="G41" i="10" s="1"/>
  <c r="H39" i="10"/>
  <c r="H41" i="10" s="1"/>
  <c r="F39" i="10"/>
  <c r="F41" i="10" s="1"/>
  <c r="I30" i="10"/>
  <c r="I31" i="10" s="1"/>
  <c r="H29" i="10"/>
  <c r="H31" i="10" s="1"/>
  <c r="D19" i="10"/>
  <c r="D21" i="10" s="1"/>
  <c r="G19" i="10"/>
  <c r="G21" i="10" s="1"/>
  <c r="C40" i="10"/>
  <c r="C41" i="10" s="1"/>
  <c r="E20" i="10"/>
  <c r="E21" i="10" s="1"/>
  <c r="C19" i="10"/>
  <c r="C21" i="10" s="1"/>
  <c r="D30" i="10"/>
  <c r="D31" i="10" s="1"/>
  <c r="C29" i="10"/>
  <c r="C31" i="10" s="1"/>
  <c r="F20" i="10"/>
  <c r="F21" i="10" s="1"/>
  <c r="D9" i="10"/>
  <c r="D11" i="10" s="1"/>
  <c r="C9" i="10"/>
  <c r="C11" i="10" s="1"/>
  <c r="L36" i="10" l="1"/>
  <c r="L38" i="10" s="1"/>
  <c r="J17" i="10"/>
  <c r="J18" i="10" s="1"/>
  <c r="K26" i="10"/>
  <c r="K28" i="10" s="1"/>
  <c r="C47" i="10"/>
  <c r="D45" i="10" s="1"/>
  <c r="F7" i="10"/>
  <c r="F8" i="10" s="1"/>
  <c r="D46" i="10" l="1"/>
  <c r="D47" i="10" s="1"/>
  <c r="K9" i="4" l="1"/>
  <c r="K9" i="1"/>
  <c r="AN104" i="6"/>
  <c r="AQ104" i="6"/>
  <c r="AR104" i="6" s="1"/>
  <c r="AU104" i="6" s="1"/>
  <c r="AN105" i="6"/>
  <c r="AQ105" i="6"/>
  <c r="AR105" i="6" s="1"/>
  <c r="AU105" i="6" s="1"/>
  <c r="AN106" i="6"/>
  <c r="AQ106" i="6"/>
  <c r="AR106" i="6" s="1"/>
  <c r="AU106" i="6" s="1"/>
  <c r="AN107" i="6"/>
  <c r="AQ107" i="6"/>
  <c r="AR107" i="6" s="1"/>
  <c r="AU107" i="6" s="1"/>
  <c r="AN108" i="6"/>
  <c r="AQ108" i="6"/>
  <c r="AR108" i="6" s="1"/>
  <c r="AU108" i="6" s="1"/>
  <c r="AN109" i="6"/>
  <c r="AQ109" i="6"/>
  <c r="AR109" i="6" s="1"/>
  <c r="AU109" i="6" s="1"/>
  <c r="AN110" i="6"/>
  <c r="AQ110" i="6"/>
  <c r="AR110" i="6" s="1"/>
  <c r="AU110" i="6" s="1"/>
  <c r="AN111" i="6"/>
  <c r="AQ111" i="6"/>
  <c r="AR111" i="6" s="1"/>
  <c r="AU111" i="6" s="1"/>
  <c r="AN112" i="6"/>
  <c r="AQ112" i="6"/>
  <c r="AR112" i="6" s="1"/>
  <c r="AU112" i="6" s="1"/>
  <c r="AN113" i="6"/>
  <c r="AQ113" i="6"/>
  <c r="AR113" i="6" s="1"/>
  <c r="AU113" i="6" s="1"/>
  <c r="AN114" i="6"/>
  <c r="AQ114" i="6"/>
  <c r="AR114" i="6" s="1"/>
  <c r="AU114" i="6" s="1"/>
  <c r="AN115" i="6"/>
  <c r="AQ115" i="6"/>
  <c r="AR115" i="6" s="1"/>
  <c r="AU115" i="6" s="1"/>
  <c r="AN116" i="6"/>
  <c r="AQ116" i="6"/>
  <c r="AR116" i="6" s="1"/>
  <c r="AU116" i="6" s="1"/>
  <c r="AN117" i="6"/>
  <c r="AQ117" i="6"/>
  <c r="AR117" i="6" s="1"/>
  <c r="AU117" i="6" s="1"/>
  <c r="AN118" i="6"/>
  <c r="AQ118" i="6"/>
  <c r="AR118" i="6" s="1"/>
  <c r="AU118" i="6" s="1"/>
  <c r="AN119" i="6"/>
  <c r="AQ119" i="6"/>
  <c r="AR119" i="6" s="1"/>
  <c r="AU119" i="6" s="1"/>
  <c r="AN120" i="6"/>
  <c r="AQ120" i="6"/>
  <c r="AR120" i="6" s="1"/>
  <c r="AU120" i="6" s="1"/>
  <c r="AN121" i="6"/>
  <c r="AQ121" i="6"/>
  <c r="AR121" i="6" s="1"/>
  <c r="AU121" i="6" s="1"/>
  <c r="AN122" i="6"/>
  <c r="AQ122" i="6"/>
  <c r="AR122" i="6" s="1"/>
  <c r="AU122" i="6" s="1"/>
  <c r="AN123" i="6"/>
  <c r="AQ123" i="6"/>
  <c r="AR123" i="6" s="1"/>
  <c r="AU123" i="6" s="1"/>
  <c r="AN124" i="6"/>
  <c r="AQ124" i="6"/>
  <c r="AR124" i="6" s="1"/>
  <c r="AU124" i="6" s="1"/>
  <c r="AN125" i="6"/>
  <c r="AQ125" i="6"/>
  <c r="AR125" i="6" s="1"/>
  <c r="AU125" i="6" s="1"/>
  <c r="AN126" i="6"/>
  <c r="AQ126" i="6"/>
  <c r="AR126" i="6" s="1"/>
  <c r="AU126" i="6" s="1"/>
  <c r="AN127" i="6"/>
  <c r="AQ127" i="6"/>
  <c r="AR127" i="6" s="1"/>
  <c r="AU127" i="6" s="1"/>
  <c r="AN128" i="6"/>
  <c r="AQ128" i="6"/>
  <c r="AR128" i="6" s="1"/>
  <c r="AU128" i="6" s="1"/>
  <c r="AN129" i="6"/>
  <c r="AQ129" i="6"/>
  <c r="AR129" i="6" s="1"/>
  <c r="AU129" i="6" s="1"/>
  <c r="AN130" i="6"/>
  <c r="AQ130" i="6"/>
  <c r="AR130" i="6" s="1"/>
  <c r="AU130" i="6" s="1"/>
  <c r="AN131" i="6"/>
  <c r="AQ131" i="6"/>
  <c r="AR131" i="6" s="1"/>
  <c r="AU131" i="6" s="1"/>
  <c r="AN132" i="6"/>
  <c r="AQ132" i="6"/>
  <c r="AR132" i="6" s="1"/>
  <c r="AU132" i="6" s="1"/>
  <c r="AN133" i="6"/>
  <c r="AQ133" i="6"/>
  <c r="AR133" i="6" s="1"/>
  <c r="AU133" i="6" s="1"/>
  <c r="AN134" i="6"/>
  <c r="AQ134" i="6"/>
  <c r="AR134" i="6" s="1"/>
  <c r="AU134" i="6" s="1"/>
  <c r="AN135" i="6"/>
  <c r="AQ135" i="6"/>
  <c r="AR135" i="6" s="1"/>
  <c r="AU135" i="6" s="1"/>
  <c r="AN136" i="6"/>
  <c r="AQ136" i="6"/>
  <c r="AR136" i="6" s="1"/>
  <c r="AU136" i="6" s="1"/>
  <c r="AN137" i="6"/>
  <c r="AQ137" i="6"/>
  <c r="AR137" i="6" s="1"/>
  <c r="AU137" i="6" s="1"/>
  <c r="AN138" i="6"/>
  <c r="AQ138" i="6"/>
  <c r="AR138" i="6" s="1"/>
  <c r="AU138" i="6" s="1"/>
  <c r="AN139" i="6"/>
  <c r="AQ139" i="6"/>
  <c r="AR139" i="6" s="1"/>
  <c r="AU139" i="6" s="1"/>
  <c r="AN140" i="6"/>
  <c r="AQ140" i="6"/>
  <c r="AR140" i="6" s="1"/>
  <c r="AU140" i="6" s="1"/>
  <c r="AN141" i="6"/>
  <c r="AQ141" i="6"/>
  <c r="AR141" i="6" s="1"/>
  <c r="AU141" i="6" s="1"/>
  <c r="AN142" i="6"/>
  <c r="AQ142" i="6"/>
  <c r="AR142" i="6" s="1"/>
  <c r="AU142" i="6" s="1"/>
  <c r="AN143" i="6"/>
  <c r="AQ143" i="6"/>
  <c r="AR143" i="6" s="1"/>
  <c r="AU143" i="6" s="1"/>
  <c r="AN144" i="6"/>
  <c r="AQ144" i="6"/>
  <c r="AR144" i="6" s="1"/>
  <c r="AU144" i="6" s="1"/>
  <c r="AN145" i="6"/>
  <c r="AQ145" i="6"/>
  <c r="AR145" i="6" s="1"/>
  <c r="AU145" i="6" s="1"/>
  <c r="AN146" i="6"/>
  <c r="AQ146" i="6"/>
  <c r="AR146" i="6" s="1"/>
  <c r="AU146" i="6" s="1"/>
  <c r="AN147" i="6"/>
  <c r="AQ147" i="6"/>
  <c r="AR147" i="6" s="1"/>
  <c r="AU147" i="6" s="1"/>
  <c r="AN148" i="6"/>
  <c r="AQ148" i="6"/>
  <c r="AR148" i="6" s="1"/>
  <c r="AU148" i="6" s="1"/>
  <c r="AN149" i="6"/>
  <c r="AQ149" i="6"/>
  <c r="AR149" i="6" s="1"/>
  <c r="AU149" i="6" s="1"/>
  <c r="AN150" i="6"/>
  <c r="AQ150" i="6"/>
  <c r="AR150" i="6" s="1"/>
  <c r="AU150" i="6" s="1"/>
  <c r="AN151" i="6"/>
  <c r="AQ151" i="6"/>
  <c r="AR151" i="6" s="1"/>
  <c r="AU151" i="6" s="1"/>
  <c r="AN152" i="6"/>
  <c r="AQ152" i="6"/>
  <c r="AR152" i="6" s="1"/>
  <c r="AU152" i="6" s="1"/>
  <c r="AN153" i="6"/>
  <c r="AQ153" i="6"/>
  <c r="AR153" i="6" s="1"/>
  <c r="AU153" i="6" s="1"/>
  <c r="AN154" i="6"/>
  <c r="AQ154" i="6"/>
  <c r="AR154" i="6" s="1"/>
  <c r="AU154" i="6" s="1"/>
  <c r="AN89" i="6"/>
  <c r="AQ89" i="6"/>
  <c r="AR89" i="6" s="1"/>
  <c r="AU89" i="6" s="1"/>
  <c r="AN90" i="6"/>
  <c r="AQ90" i="6"/>
  <c r="AR90" i="6" s="1"/>
  <c r="AU90" i="6" s="1"/>
  <c r="AN92" i="6"/>
  <c r="AQ92" i="6"/>
  <c r="AR92" i="6" s="1"/>
  <c r="AU92" i="6" s="1"/>
  <c r="AN93" i="6"/>
  <c r="AQ93" i="6"/>
  <c r="AR93" i="6" s="1"/>
  <c r="AU93" i="6" s="1"/>
  <c r="AN94" i="6"/>
  <c r="AQ94" i="6"/>
  <c r="AR94" i="6" s="1"/>
  <c r="AU94" i="6" s="1"/>
  <c r="AN95" i="6"/>
  <c r="AQ95" i="6"/>
  <c r="AR95" i="6" s="1"/>
  <c r="AU95" i="6" s="1"/>
  <c r="AN96" i="6"/>
  <c r="AQ96" i="6"/>
  <c r="AR96" i="6" s="1"/>
  <c r="AU96" i="6" s="1"/>
  <c r="AN97" i="6"/>
  <c r="AQ97" i="6"/>
  <c r="AR97" i="6" s="1"/>
  <c r="AU97" i="6" s="1"/>
  <c r="AN98" i="6"/>
  <c r="AQ98" i="6"/>
  <c r="AR98" i="6" s="1"/>
  <c r="AU98" i="6" s="1"/>
  <c r="AN99" i="6"/>
  <c r="AQ99" i="6"/>
  <c r="AR99" i="6" s="1"/>
  <c r="AU99" i="6" s="1"/>
  <c r="AN100" i="6"/>
  <c r="AQ100" i="6"/>
  <c r="AR100" i="6" s="1"/>
  <c r="AU100" i="6" s="1"/>
  <c r="AN101" i="6"/>
  <c r="AQ101" i="6"/>
  <c r="AR101" i="6" s="1"/>
  <c r="AU101" i="6" s="1"/>
  <c r="AN102" i="6"/>
  <c r="AQ102" i="6"/>
  <c r="AR102" i="6" s="1"/>
  <c r="AU102" i="6" s="1"/>
  <c r="AN103" i="6"/>
  <c r="AQ103" i="6"/>
  <c r="AR103" i="6" s="1"/>
  <c r="AU103" i="6" s="1"/>
  <c r="AQ88" i="6"/>
  <c r="AR88" i="6" s="1"/>
  <c r="AU88" i="6" s="1"/>
  <c r="AN88" i="6"/>
  <c r="AQ87" i="6"/>
  <c r="AR87" i="6" s="1"/>
  <c r="AU87" i="6" s="1"/>
  <c r="AN87" i="6"/>
  <c r="AQ86" i="6"/>
  <c r="AR86" i="6" s="1"/>
  <c r="AU86" i="6" s="1"/>
  <c r="AN86" i="6"/>
  <c r="AQ85" i="6"/>
  <c r="AR85" i="6" s="1"/>
  <c r="AU85" i="6" s="1"/>
  <c r="AN85" i="6"/>
  <c r="AQ84" i="6"/>
  <c r="AR84" i="6" s="1"/>
  <c r="AU84" i="6" s="1"/>
  <c r="AN84" i="6"/>
  <c r="AQ83" i="6"/>
  <c r="AR83" i="6" s="1"/>
  <c r="AU83" i="6" s="1"/>
  <c r="AN83" i="6"/>
  <c r="AQ82" i="6"/>
  <c r="AR82" i="6" s="1"/>
  <c r="AU82" i="6" s="1"/>
  <c r="AN82" i="6"/>
  <c r="AQ81" i="6"/>
  <c r="AR81" i="6" s="1"/>
  <c r="AU81" i="6" s="1"/>
  <c r="AN81" i="6"/>
  <c r="AQ80" i="6"/>
  <c r="AR80" i="6" s="1"/>
  <c r="AU80" i="6" s="1"/>
  <c r="AN80" i="6"/>
  <c r="AQ79" i="6"/>
  <c r="AR79" i="6" s="1"/>
  <c r="AU79" i="6" s="1"/>
  <c r="AN79" i="6"/>
  <c r="AQ78" i="6"/>
  <c r="AR78" i="6" s="1"/>
  <c r="AU78" i="6" s="1"/>
  <c r="AN78" i="6"/>
  <c r="AQ77" i="6"/>
  <c r="AR77" i="6" s="1"/>
  <c r="AU77" i="6" s="1"/>
  <c r="AN77" i="6"/>
  <c r="AQ76" i="6"/>
  <c r="AR76" i="6" s="1"/>
  <c r="AU76" i="6" s="1"/>
  <c r="AN76" i="6"/>
  <c r="AQ75" i="6"/>
  <c r="AR75" i="6" s="1"/>
  <c r="AU75" i="6" s="1"/>
  <c r="AN75" i="6"/>
  <c r="AQ74" i="6"/>
  <c r="AR74" i="6" s="1"/>
  <c r="AU74" i="6" s="1"/>
  <c r="AN74" i="6"/>
  <c r="AQ73" i="6"/>
  <c r="AR73" i="6" s="1"/>
  <c r="AU73" i="6" s="1"/>
  <c r="AN73" i="6"/>
  <c r="AQ72" i="6"/>
  <c r="AR72" i="6" s="1"/>
  <c r="AU72" i="6" s="1"/>
  <c r="AN72" i="6"/>
  <c r="AQ71" i="6"/>
  <c r="AR71" i="6" s="1"/>
  <c r="AU71" i="6" s="1"/>
  <c r="AN71" i="6"/>
  <c r="AQ70" i="6"/>
  <c r="AR70" i="6" s="1"/>
  <c r="AU70" i="6" s="1"/>
  <c r="AN70" i="6"/>
  <c r="AQ69" i="6"/>
  <c r="AR69" i="6" s="1"/>
  <c r="AU69" i="6" s="1"/>
  <c r="AN69" i="6"/>
  <c r="AQ68" i="6"/>
  <c r="AR68" i="6" s="1"/>
  <c r="AU68" i="6" s="1"/>
  <c r="AN68" i="6"/>
  <c r="AQ67" i="6"/>
  <c r="AR67" i="6" s="1"/>
  <c r="AU67" i="6" s="1"/>
  <c r="AN67" i="6"/>
  <c r="AQ66" i="6"/>
  <c r="AR66" i="6" s="1"/>
  <c r="AU66" i="6" s="1"/>
  <c r="AN66" i="6"/>
  <c r="AQ65" i="6"/>
  <c r="AR65" i="6" s="1"/>
  <c r="AU65" i="6" s="1"/>
  <c r="AN65" i="6"/>
  <c r="AQ64" i="6"/>
  <c r="AR64" i="6" s="1"/>
  <c r="AU64" i="6" s="1"/>
  <c r="AN64" i="6"/>
  <c r="AQ63" i="6"/>
  <c r="AR63" i="6" s="1"/>
  <c r="AU63" i="6" s="1"/>
  <c r="AN63" i="6"/>
  <c r="AQ62" i="6"/>
  <c r="AR62" i="6" s="1"/>
  <c r="AU62" i="6" s="1"/>
  <c r="AN62" i="6"/>
  <c r="AQ61" i="6"/>
  <c r="AR61" i="6" s="1"/>
  <c r="AU61" i="6" s="1"/>
  <c r="AN61" i="6"/>
  <c r="AQ60" i="6"/>
  <c r="AR60" i="6" s="1"/>
  <c r="AU60" i="6" s="1"/>
  <c r="AN60" i="6"/>
  <c r="AQ59" i="6"/>
  <c r="AR59" i="6" s="1"/>
  <c r="AU59" i="6" s="1"/>
  <c r="AN59" i="6"/>
  <c r="AQ58" i="6"/>
  <c r="AR58" i="6" s="1"/>
  <c r="AU58" i="6" s="1"/>
  <c r="AN58" i="6"/>
  <c r="AQ57" i="6"/>
  <c r="AR57" i="6" s="1"/>
  <c r="AU57" i="6" s="1"/>
  <c r="AN57" i="6"/>
  <c r="AQ56" i="6"/>
  <c r="AR56" i="6" s="1"/>
  <c r="AU56" i="6" s="1"/>
  <c r="AN56" i="6"/>
  <c r="AQ55" i="6"/>
  <c r="AR55" i="6" s="1"/>
  <c r="AU55" i="6" s="1"/>
  <c r="AN55" i="6"/>
  <c r="AQ54" i="6"/>
  <c r="AR54" i="6" s="1"/>
  <c r="AU54" i="6" s="1"/>
  <c r="AN54" i="6"/>
  <c r="AQ53" i="6"/>
  <c r="AR53" i="6" s="1"/>
  <c r="AU53" i="6" s="1"/>
  <c r="AN53" i="6"/>
  <c r="AQ52" i="6"/>
  <c r="AR52" i="6" s="1"/>
  <c r="AU52" i="6" s="1"/>
  <c r="AN52" i="6"/>
  <c r="AQ51" i="6"/>
  <c r="AR51" i="6" s="1"/>
  <c r="AU51" i="6" s="1"/>
  <c r="AN51" i="6"/>
  <c r="AQ50" i="6"/>
  <c r="AR50" i="6" s="1"/>
  <c r="AU50" i="6" s="1"/>
  <c r="AN50" i="6"/>
  <c r="AQ49" i="6"/>
  <c r="AR49" i="6" s="1"/>
  <c r="AU49" i="6" s="1"/>
  <c r="AN49" i="6"/>
  <c r="AQ48" i="6"/>
  <c r="AR48" i="6" s="1"/>
  <c r="AU48" i="6" s="1"/>
  <c r="AN48" i="6"/>
  <c r="AQ47" i="6"/>
  <c r="AR47" i="6" s="1"/>
  <c r="AU47" i="6" s="1"/>
  <c r="AN47" i="6"/>
  <c r="AQ46" i="6"/>
  <c r="AR46" i="6" s="1"/>
  <c r="AU46" i="6" s="1"/>
  <c r="AN46" i="6"/>
  <c r="AQ45" i="6"/>
  <c r="AR45" i="6" s="1"/>
  <c r="AU45" i="6" s="1"/>
  <c r="AN45" i="6"/>
  <c r="AQ44" i="6"/>
  <c r="AR44" i="6" s="1"/>
  <c r="AU44" i="6" s="1"/>
  <c r="AN44" i="6"/>
  <c r="AQ43" i="6"/>
  <c r="AR43" i="6" s="1"/>
  <c r="AU43" i="6" s="1"/>
  <c r="AN43" i="6"/>
  <c r="AQ42" i="6"/>
  <c r="AR42" i="6" s="1"/>
  <c r="AU42" i="6" s="1"/>
  <c r="AN42" i="6"/>
  <c r="AQ41" i="6"/>
  <c r="AR41" i="6" s="1"/>
  <c r="AU41" i="6" s="1"/>
  <c r="AN41" i="6"/>
  <c r="AQ40" i="6"/>
  <c r="AR40" i="6" s="1"/>
  <c r="AU40" i="6" s="1"/>
  <c r="AN40" i="6"/>
  <c r="AQ39" i="6"/>
  <c r="AR39" i="6" s="1"/>
  <c r="AU39" i="6" s="1"/>
  <c r="AN39" i="6"/>
  <c r="AQ38" i="6"/>
  <c r="AR38" i="6" s="1"/>
  <c r="AU38" i="6" s="1"/>
  <c r="AN38" i="6"/>
  <c r="AQ37" i="6"/>
  <c r="AR37" i="6" s="1"/>
  <c r="AU37" i="6" s="1"/>
  <c r="AN37" i="6"/>
  <c r="AQ36" i="6"/>
  <c r="AR36" i="6" s="1"/>
  <c r="AU36" i="6" s="1"/>
  <c r="AN36" i="6"/>
  <c r="AQ35" i="6"/>
  <c r="AR35" i="6" s="1"/>
  <c r="AU35" i="6" s="1"/>
  <c r="AN35" i="6"/>
  <c r="AQ34" i="6"/>
  <c r="AR34" i="6" s="1"/>
  <c r="AU34" i="6" s="1"/>
  <c r="AN34" i="6"/>
  <c r="AQ33" i="6"/>
  <c r="AR33" i="6" s="1"/>
  <c r="AU33" i="6" s="1"/>
  <c r="AN33" i="6"/>
  <c r="AQ32" i="6"/>
  <c r="AR32" i="6" s="1"/>
  <c r="AU32" i="6" s="1"/>
  <c r="AN32" i="6"/>
  <c r="AQ31" i="6"/>
  <c r="AR31" i="6" s="1"/>
  <c r="AU31" i="6" s="1"/>
  <c r="AN31" i="6"/>
  <c r="AQ30" i="6"/>
  <c r="AR30" i="6" s="1"/>
  <c r="AU30" i="6" s="1"/>
  <c r="AN30" i="6"/>
  <c r="AQ29" i="6"/>
  <c r="AR29" i="6" s="1"/>
  <c r="AU29" i="6" s="1"/>
  <c r="AN29" i="6"/>
  <c r="AQ28" i="6"/>
  <c r="AR28" i="6" s="1"/>
  <c r="AU28" i="6" s="1"/>
  <c r="AN28" i="6"/>
  <c r="AQ27" i="6"/>
  <c r="AR27" i="6" s="1"/>
  <c r="AU27" i="6" s="1"/>
  <c r="AN27" i="6"/>
  <c r="AQ26" i="6"/>
  <c r="AR26" i="6" s="1"/>
  <c r="AU26" i="6" s="1"/>
  <c r="AN26" i="6"/>
  <c r="AQ25" i="6"/>
  <c r="AR25" i="6" s="1"/>
  <c r="AU25" i="6" s="1"/>
  <c r="AN25" i="6"/>
  <c r="AQ24" i="6"/>
  <c r="AR24" i="6" s="1"/>
  <c r="AU24" i="6" s="1"/>
  <c r="AN24" i="6"/>
  <c r="AQ23" i="6"/>
  <c r="AR23" i="6" s="1"/>
  <c r="AU23" i="6" s="1"/>
  <c r="AN23" i="6"/>
  <c r="AQ22" i="6"/>
  <c r="AR22" i="6" s="1"/>
  <c r="AU22" i="6" s="1"/>
  <c r="AN22" i="6"/>
  <c r="AQ21" i="6"/>
  <c r="AR21" i="6" s="1"/>
  <c r="AU21" i="6" s="1"/>
  <c r="AN21" i="6"/>
  <c r="AQ20" i="6"/>
  <c r="AR20" i="6" s="1"/>
  <c r="AU20" i="6" s="1"/>
  <c r="AN20" i="6"/>
  <c r="AQ19" i="6"/>
  <c r="AR19" i="6" s="1"/>
  <c r="AU19" i="6" s="1"/>
  <c r="AN19" i="6"/>
  <c r="AQ18" i="6"/>
  <c r="AR18" i="6" s="1"/>
  <c r="AU18" i="6" s="1"/>
  <c r="AN18" i="6"/>
  <c r="AQ17" i="6"/>
  <c r="AR17" i="6" s="1"/>
  <c r="AU17" i="6" s="1"/>
  <c r="AN17" i="6"/>
  <c r="AQ16" i="6"/>
  <c r="AR16" i="6" s="1"/>
  <c r="AU16" i="6" s="1"/>
  <c r="AN16" i="6"/>
  <c r="AQ15" i="6"/>
  <c r="AR15" i="6" s="1"/>
  <c r="AU15" i="6" s="1"/>
  <c r="AN15" i="6"/>
  <c r="AQ14" i="6"/>
  <c r="AR14" i="6" s="1"/>
  <c r="AU14" i="6" s="1"/>
  <c r="AN14" i="6"/>
  <c r="AQ13" i="6"/>
  <c r="AR13" i="6" s="1"/>
  <c r="AU13" i="6" s="1"/>
  <c r="AN13" i="6"/>
  <c r="AQ12" i="6"/>
  <c r="AR12" i="6" s="1"/>
  <c r="AU12" i="6" s="1"/>
  <c r="AN12" i="6"/>
  <c r="AQ11" i="6"/>
  <c r="AR11" i="6" s="1"/>
  <c r="AU11" i="6" s="1"/>
  <c r="AN11" i="6"/>
  <c r="AQ10" i="6"/>
  <c r="AR10" i="6" s="1"/>
  <c r="AU10" i="6" s="1"/>
  <c r="AN10" i="6"/>
  <c r="AQ9" i="6"/>
  <c r="AR9" i="6" s="1"/>
  <c r="AU9" i="6" s="1"/>
  <c r="AN9" i="6"/>
  <c r="AQ8" i="6"/>
  <c r="AR8" i="6" s="1"/>
  <c r="AU8" i="6" s="1"/>
  <c r="AN8" i="6"/>
  <c r="AQ7" i="6"/>
  <c r="AR7" i="6" s="1"/>
  <c r="AU7" i="6" s="1"/>
  <c r="AN7" i="6"/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Autonoma-HP-17</author>
  </authors>
  <commentList>
    <comment ref="F9" authorId="0" shapeId="0" xr:uid="{19610465-27C7-4F33-894D-858103F70AAF}">
      <text>
        <r>
          <rPr>
            <b/>
            <sz val="9"/>
            <color indexed="81"/>
            <rFont val="Tahoma"/>
            <family val="2"/>
          </rPr>
          <t>Autonoma-HP-17:</t>
        </r>
        <r>
          <rPr>
            <sz val="9"/>
            <color indexed="81"/>
            <rFont val="Tahoma"/>
            <family val="2"/>
          </rPr>
          <t xml:space="preserve">
AE 12 - DE 19</t>
        </r>
      </text>
    </comment>
    <comment ref="F10" authorId="0" shapeId="0" xr:uid="{A1D90CE2-0A09-4371-AC60-F802065B520D}">
      <text>
        <r>
          <rPr>
            <b/>
            <sz val="9"/>
            <color indexed="81"/>
            <rFont val="Tahoma"/>
            <family val="2"/>
          </rPr>
          <t>Autonoma-HP-17:</t>
        </r>
        <r>
          <rPr>
            <sz val="9"/>
            <color indexed="81"/>
            <rFont val="Tahoma"/>
            <family val="2"/>
          </rPr>
          <t xml:space="preserve">
AE 13 - DE 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Autonoma-HP-17</author>
    <author>Administrador</author>
  </authors>
  <commentList>
    <comment ref="F9" authorId="0" shapeId="0" xr:uid="{A8080AE2-CB19-4287-8435-BD0E50E599A1}">
      <text>
        <r>
          <rPr>
            <b/>
            <sz val="9"/>
            <color indexed="81"/>
            <rFont val="Tahoma"/>
            <family val="2"/>
          </rPr>
          <t>Autonoma-HP-17:</t>
        </r>
        <r>
          <rPr>
            <sz val="9"/>
            <color indexed="81"/>
            <rFont val="Tahoma"/>
            <family val="2"/>
          </rPr>
          <t xml:space="preserve">
AE 8 - DE 8</t>
        </r>
      </text>
    </comment>
    <comment ref="F10" authorId="0" shapeId="0" xr:uid="{D45259D6-CB3F-4CA4-AE04-8D8FD6A5DC22}">
      <text>
        <r>
          <rPr>
            <b/>
            <sz val="9"/>
            <color indexed="81"/>
            <rFont val="Tahoma"/>
            <family val="2"/>
          </rPr>
          <t>Autonoma-HP-17:</t>
        </r>
        <r>
          <rPr>
            <sz val="9"/>
            <color indexed="81"/>
            <rFont val="Tahoma"/>
            <family val="2"/>
          </rPr>
          <t xml:space="preserve">
AE 10 - DE 5</t>
        </r>
      </text>
    </comment>
    <comment ref="F14" authorId="0" shapeId="0" xr:uid="{08405FC7-5045-40A2-BE2C-F865B0F9B078}">
      <text>
        <r>
          <rPr>
            <b/>
            <sz val="9"/>
            <color indexed="81"/>
            <rFont val="Tahoma"/>
            <family val="2"/>
          </rPr>
          <t>Autonoma-HP-17:</t>
        </r>
        <r>
          <rPr>
            <sz val="9"/>
            <color indexed="81"/>
            <rFont val="Tahoma"/>
            <family val="2"/>
          </rPr>
          <t xml:space="preserve">
AE 5 - DE 10
</t>
        </r>
      </text>
    </comment>
    <comment ref="F15" authorId="1" shapeId="0" xr:uid="{F8C094A7-FED9-4D28-90D0-AE1CA33FB588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AE 9 - DE 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J20" authorId="0" shapeId="0" xr:uid="{17066059-7634-4E2F-AAAC-9EC65D830E94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AE 10 - DE 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HP-LAPTOP-01</author>
  </authors>
  <commentList>
    <comment ref="U6" authorId="0" shapeId="0" xr:uid="{BEA06022-7991-4286-9872-F746B746D74E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TC
- TP</t>
        </r>
      </text>
    </comment>
    <comment ref="V6" authorId="0" shapeId="0" xr:uid="{EDFC4E63-C067-4D2E-A27C-43CB2D5D6AA6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TC
- TP</t>
        </r>
      </text>
    </comment>
    <comment ref="W6" authorId="0" shapeId="0" xr:uid="{F0535558-F4EA-433C-AB3D-0CA6607831FD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CONCURSO
- INVITACION
- RENOVACION
- REINCORPORACION
- INVESTIGADOR
- JEFE DE PRACTICA</t>
        </r>
      </text>
    </comment>
    <comment ref="X6" authorId="0" shapeId="0" xr:uid="{F1ADC7D5-2C12-496C-A5A3-46A729E25156}">
      <text>
        <r>
          <rPr>
            <b/>
            <sz val="9"/>
            <color indexed="81"/>
            <rFont val="Tahoma"/>
            <family val="2"/>
          </rPr>
          <t xml:space="preserve">HP-LAPTOP-01:
- </t>
        </r>
        <r>
          <rPr>
            <sz val="9"/>
            <color indexed="81"/>
            <rFont val="Tahoma"/>
            <family val="2"/>
          </rPr>
          <t xml:space="preserve">CONTRATADO
- ORDINARIO
</t>
        </r>
      </text>
    </comment>
    <comment ref="AB6" authorId="0" shapeId="0" xr:uid="{45751DC2-8411-4A5E-B681-5E9DF81300AC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FILIAL
- SEDE
- SUNAMPE
- HUAURA
- PORUMA</t>
        </r>
      </text>
    </comment>
    <comment ref="AC6" authorId="0" shapeId="0" xr:uid="{7BBA1D91-0E6C-4BBC-A3D7-4D8EC88C9676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FILIAL
- SEDE
- SUNAMPE
- HUAURA
- PORUMA</t>
        </r>
      </text>
    </comment>
    <comment ref="AE6" authorId="0" shapeId="0" xr:uid="{5C6961C0-591A-4A35-B472-5308D07510B3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BACHILLER
- MAESTRO
- DOCTOR</t>
        </r>
      </text>
    </comment>
    <comment ref="AG6" authorId="0" shapeId="0" xr:uid="{1F88E4EF-5891-4854-8423-C8F4CEB16E0A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BACHILLER
- MAESTRO
- DOCTOR</t>
        </r>
      </text>
    </comment>
    <comment ref="AH6" authorId="0" shapeId="0" xr:uid="{EBD89B9F-6EC8-4D84-880D-3C190579464E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PRESENCIAL
- SEMIPRESENCIAL
- A DISTANCIA</t>
        </r>
      </text>
    </comment>
    <comment ref="AI6" authorId="0" shapeId="0" xr:uid="{8FF9D664-7035-4A80-B044-EF2ABAD4FB1F}">
      <text>
        <r>
          <rPr>
            <b/>
            <sz val="9"/>
            <color indexed="81"/>
            <rFont val="Tahoma"/>
            <family val="2"/>
          </rPr>
          <t>HP-LAPTOP-01:</t>
        </r>
        <r>
          <rPr>
            <sz val="9"/>
            <color indexed="81"/>
            <rFont val="Tahoma"/>
            <family val="2"/>
          </rPr>
          <t xml:space="preserve">
- PRESENCIAL
- SEMIPRESENCIAL
- A DISTANCIA</t>
        </r>
      </text>
    </comment>
  </commentList>
</comments>
</file>

<file path=xl/sharedStrings.xml><?xml version="1.0" encoding="utf-8"?>
<sst xmlns="http://schemas.openxmlformats.org/spreadsheetml/2006/main" count="4703" uniqueCount="1238">
  <si>
    <t>PROPUESTA DE RENOVACIÓN DOCENTE TC PARA SEMESTRE ACADÉMICO 2026-1
FACULTAD DE CIENCIAS DE LA SALUD</t>
  </si>
  <si>
    <t>N°</t>
  </si>
  <si>
    <t>DNI</t>
  </si>
  <si>
    <t>APELLIDOS Y NOMBRES</t>
  </si>
  <si>
    <t>FACULTAD</t>
  </si>
  <si>
    <t>ESCUELA PROFESIONAL</t>
  </si>
  <si>
    <t>LOCAL</t>
  </si>
  <si>
    <t>MODALIDAD</t>
  </si>
  <si>
    <t>N° HORAS LECTIVAS</t>
  </si>
  <si>
    <t>N° HORAS NO LECTIVAS</t>
  </si>
  <si>
    <t>TOAL DE HORAS</t>
  </si>
  <si>
    <t>NOTA EVALUACIÓN DEL DESEMPEÑO 2025-2</t>
  </si>
  <si>
    <t>CARGO</t>
  </si>
  <si>
    <t>CORREO ELECTRÓNICO INSTITUCIONAL</t>
  </si>
  <si>
    <t>N° CELULAR</t>
  </si>
  <si>
    <t>OBSERVACIONES</t>
  </si>
  <si>
    <t>ACHARTE CHAMPI WALTER JESUS</t>
  </si>
  <si>
    <t>FCS</t>
  </si>
  <si>
    <t>ENFERMERÍA</t>
  </si>
  <si>
    <t>SEDE</t>
  </si>
  <si>
    <t>VIRTUAL</t>
  </si>
  <si>
    <t>17.51</t>
  </si>
  <si>
    <t>walter.acharte@autonomadeica.edu.pe</t>
  </si>
  <si>
    <t>ACOSTA VILLAVICENCIO BLANCA AURORA</t>
  </si>
  <si>
    <t>OBSTETRICIA - EEGG</t>
  </si>
  <si>
    <t>MAS PRESENCIAL</t>
  </si>
  <si>
    <t>15.96</t>
  </si>
  <si>
    <t>blanca.acosta@autonomadeica.edu.pe</t>
  </si>
  <si>
    <t xml:space="preserve"> 956 722222</t>
  </si>
  <si>
    <t>ANTEZANA CHINQUILLO JOSE GIANCARLO</t>
  </si>
  <si>
    <t>MEDICINA HUMANA</t>
  </si>
  <si>
    <t>PORUMA</t>
  </si>
  <si>
    <t>PRESENCIAL</t>
  </si>
  <si>
    <t>15.44</t>
  </si>
  <si>
    <t>jose.antezana@autonomadeica.edu.pe</t>
  </si>
  <si>
    <t>APOLAYA PAREJA BERTHA ESTHER</t>
  </si>
  <si>
    <t>OBSTETRICIA</t>
  </si>
  <si>
    <t>17.75</t>
  </si>
  <si>
    <t>bertha.apolaya@autonomadeica.edu.pe</t>
  </si>
  <si>
    <t>ARQUIÑEGO SOLAR HENRRY MARCOS</t>
  </si>
  <si>
    <t>FILIAL</t>
  </si>
  <si>
    <t>MAS VIRTUAL</t>
  </si>
  <si>
    <t>15.37</t>
  </si>
  <si>
    <t>henrry.arquinego@autonomadeica.edu.pe</t>
  </si>
  <si>
    <t>ARREDONDO ZELA SONIA OLIVIA</t>
  </si>
  <si>
    <t>15.91</t>
  </si>
  <si>
    <t>sonia.arredondo@autonomadeica.edu.pe</t>
  </si>
  <si>
    <t>978 833677</t>
  </si>
  <si>
    <t>ARROYO PACHAS JOSE LUIS</t>
  </si>
  <si>
    <t>14.12</t>
  </si>
  <si>
    <t>jose.arroyo@autonomadeica.edu.pe</t>
  </si>
  <si>
    <t>ATME ROJAS DAVEY RAUL</t>
  </si>
  <si>
    <t>PSICOLOGÍA</t>
  </si>
  <si>
    <t>16.25</t>
  </si>
  <si>
    <t>davey.atme@autonomadeica.edu.pe</t>
  </si>
  <si>
    <t xml:space="preserve"> 956445166_x000D_</t>
  </si>
  <si>
    <t>ATUNCAR VASQUEZ RICARDO MANUEL</t>
  </si>
  <si>
    <t>15.73</t>
  </si>
  <si>
    <t>ricardo.atuncar@autonomadeica.edu.pe</t>
  </si>
  <si>
    <t>AYBAR HUAMANI JUSTINIANO</t>
  </si>
  <si>
    <t>ENFERMERÍA - EEGG</t>
  </si>
  <si>
    <t>17.06</t>
  </si>
  <si>
    <t>justiniano.aybar@autonomadeica.edu.pe</t>
  </si>
  <si>
    <t>BARRIOS GABRIEL SONIA EDITH</t>
  </si>
  <si>
    <t>MEDICINA HUMANA - EEGG</t>
  </si>
  <si>
    <t>15.57</t>
  </si>
  <si>
    <t>sonia.barrios@autonomadeica.edu.pe</t>
  </si>
  <si>
    <t>BAZALAR GANOZA BEATRIZ ROSARIO</t>
  </si>
  <si>
    <t>HUAURA</t>
  </si>
  <si>
    <t>15.07</t>
  </si>
  <si>
    <t>beatriz.bazalar@autonomadeica.edu.pe</t>
  </si>
  <si>
    <t>5774800 / 940029503</t>
  </si>
  <si>
    <t>BELLIDO LEON FRANK JUNIOR</t>
  </si>
  <si>
    <t>15.69</t>
  </si>
  <si>
    <t xml:space="preserve">frank.bellido@autonomadeica.edu.pe </t>
  </si>
  <si>
    <t>BENAVIDES ESCRIBA VICTOR MANUEL</t>
  </si>
  <si>
    <t>16.31</t>
  </si>
  <si>
    <t>manuel.benavides@autonomadeica.edu.pe</t>
  </si>
  <si>
    <t>BENDEZU HUAROTO ALEX RAUL</t>
  </si>
  <si>
    <t>16.53</t>
  </si>
  <si>
    <t>alex.bendezu@autonomadeica.edu.pe</t>
  </si>
  <si>
    <t>CABRERA PIMENTEL HELGA ROXANA</t>
  </si>
  <si>
    <t>AMBOS</t>
  </si>
  <si>
    <t>15.60</t>
  </si>
  <si>
    <t>helga.cabrera@autonomadeica.edu.pe</t>
  </si>
  <si>
    <t>CABRERA VIZARRETA MARTHA LUISA</t>
  </si>
  <si>
    <t>16.03</t>
  </si>
  <si>
    <t>martha.cabrera@autonomadeica.edu.pe</t>
  </si>
  <si>
    <t>CAHUANA MUÑOZ BETTY MARISEL</t>
  </si>
  <si>
    <t>14.69</t>
  </si>
  <si>
    <t>betty.cahuana@autonomadeica.edu.pe</t>
  </si>
  <si>
    <t>CALLAÑAUPA VARGAS JULIA ANTONIA</t>
  </si>
  <si>
    <t>SUNAMPE</t>
  </si>
  <si>
    <t>14.91</t>
  </si>
  <si>
    <t>julia.callanaupa@autonomadeica.edu.pe</t>
  </si>
  <si>
    <t>CAMPOS CARDENAS SANDRA GISELA</t>
  </si>
  <si>
    <t>14.24</t>
  </si>
  <si>
    <t>sandra.campos@autonomadeica.edu.pe</t>
  </si>
  <si>
    <t>CANDELA LEVANO CECIL MASSIEL</t>
  </si>
  <si>
    <t>15.82</t>
  </si>
  <si>
    <t xml:space="preserve">cecil.candela@autonomadeica.edu.pe </t>
  </si>
  <si>
    <t>CARRASCO VASQUEZ JOSE LUIS</t>
  </si>
  <si>
    <t>13.91</t>
  </si>
  <si>
    <t>jose.carrasco@autonomadeica.edu.pe</t>
  </si>
  <si>
    <t>CASTRO VILCAPUMA NATHIA ERIKA</t>
  </si>
  <si>
    <t>nathia.castro@autonomadeica.edu.pe</t>
  </si>
  <si>
    <t>CENTENO OCHOA FANNY EDITH</t>
  </si>
  <si>
    <t>14.44</t>
  </si>
  <si>
    <t>fanny.centeno@autonomadeica.edu.pe</t>
  </si>
  <si>
    <t>CHACALTANA CORDERO HILDA GLORIA</t>
  </si>
  <si>
    <t>16.54</t>
  </si>
  <si>
    <t>hilda.chacaltana@autonomadeica.edu.pe</t>
  </si>
  <si>
    <t xml:space="preserve"> 982739733_x000D_</t>
  </si>
  <si>
    <t>COLONIA OSORIO NIEVES PILAR</t>
  </si>
  <si>
    <t>15.83</t>
  </si>
  <si>
    <t>nieves.colonia@autonomadeica.edu.pe</t>
  </si>
  <si>
    <t>COMECA VILDOZO ANGEL ORLANDO</t>
  </si>
  <si>
    <t>angel.comeca@autonomadeica.edu.pe</t>
  </si>
  <si>
    <t>992158166/956620126</t>
  </si>
  <si>
    <t>CORDOVA GUTIERREZ MARCO ANDREE</t>
  </si>
  <si>
    <t>TECNOLOGÍA MÉDICA</t>
  </si>
  <si>
    <t>15.84</t>
  </si>
  <si>
    <t>marco.cordova@autonomadeica.edu.pe</t>
  </si>
  <si>
    <t>934 260 986</t>
  </si>
  <si>
    <t>CUBA MAYURI RICHARD ALEJANDRO</t>
  </si>
  <si>
    <t>15.56</t>
  </si>
  <si>
    <t>richard.cuba@autonomadeica.edu.pe</t>
  </si>
  <si>
    <t>CUELLO GARCIA MEGALLY FIORELLA</t>
  </si>
  <si>
    <t>16.23</t>
  </si>
  <si>
    <t>megally.cuello@autonomadeica.edu.pe</t>
  </si>
  <si>
    <t>DEL PINO ASCONA DENNIS YVONNE</t>
  </si>
  <si>
    <t>16.47</t>
  </si>
  <si>
    <t>dennis.delpino@autonomadeica.edu.pe</t>
  </si>
  <si>
    <t>DIAZ BAZALAR WILLIAM JESUS</t>
  </si>
  <si>
    <t>14.67</t>
  </si>
  <si>
    <t>william.diaz@autonomadeica.edu.pe</t>
  </si>
  <si>
    <t>DURAND DIEZ FRANCISCO</t>
  </si>
  <si>
    <t>15.86</t>
  </si>
  <si>
    <t>francisco.durand@autonomadeica.edu.pe</t>
  </si>
  <si>
    <t>ESPINOZA ALARCON YADY</t>
  </si>
  <si>
    <t>18.06</t>
  </si>
  <si>
    <t>yady.espinoza@autonomadeica.edu.pe</t>
  </si>
  <si>
    <t>ESPINOZA BARRIOS LUZ MARIANELA</t>
  </si>
  <si>
    <t>16.35</t>
  </si>
  <si>
    <t>luz.espinoza@autonomadeica.edu.pe</t>
  </si>
  <si>
    <t>ESPINOZA TARQUI MAGDALENA</t>
  </si>
  <si>
    <t>15.28</t>
  </si>
  <si>
    <t>magdalena.espinoza@autonomadeica.edu.pe</t>
  </si>
  <si>
    <t>GALVAN CANTA MARIA MAGDALENA</t>
  </si>
  <si>
    <t>15.33</t>
  </si>
  <si>
    <t>maria.galvan@autonomadeica.edu.pe</t>
  </si>
  <si>
    <t>GOMEZ HERNANDEZ FREDDY WILFREDO</t>
  </si>
  <si>
    <t>15.42</t>
  </si>
  <si>
    <t>wilfredo.hernandez@autonomadeica.edu.pe</t>
  </si>
  <si>
    <t>GUEVARA CARRILLO ANITA FUTINI</t>
  </si>
  <si>
    <t>16.92</t>
  </si>
  <si>
    <t>anita.guevara@autonomadeica.edu.pe</t>
  </si>
  <si>
    <t>958 060 251</t>
  </si>
  <si>
    <t>GUILLEN USTUA LUZVID</t>
  </si>
  <si>
    <t>13.74</t>
  </si>
  <si>
    <t>luzvid.guillen@autonomadeica.edu.pe</t>
  </si>
  <si>
    <t>GUTIERREZ DULANTO DE MUÑOZ JENIFER JESUS</t>
  </si>
  <si>
    <t>17.33</t>
  </si>
  <si>
    <t>jenifer.gutierrez@autonomadeica.edu.pe</t>
  </si>
  <si>
    <t>HERNANDEZ CHOCANO LLULIANA LEONOR</t>
  </si>
  <si>
    <t>16.39</t>
  </si>
  <si>
    <t>lluliana.hernandez@autonomadeica.edu.pe</t>
  </si>
  <si>
    <t>HERNANDEZ ESPINO RAUL JONATHAN</t>
  </si>
  <si>
    <t>15.72</t>
  </si>
  <si>
    <t>raul.hernandez@autonomadeica.edu.pe</t>
  </si>
  <si>
    <t>HERNANDEZ PEÑA MARLENY</t>
  </si>
  <si>
    <t>15.48</t>
  </si>
  <si>
    <t>marleny.hernandez@autonomadeica.edu.pe</t>
  </si>
  <si>
    <t>HUAMAN CAYO ALEX MARTIN</t>
  </si>
  <si>
    <t>15.20</t>
  </si>
  <si>
    <t>alex.huaman@autonomadeica.edu.pe</t>
  </si>
  <si>
    <t>JERONIMO CASTILLO JORGE ANTONIO</t>
  </si>
  <si>
    <t>PSICOLOGÍA - EEGG</t>
  </si>
  <si>
    <t>16.08</t>
  </si>
  <si>
    <t>jorge.jeronimo@autonomadeica.edu.pe</t>
  </si>
  <si>
    <t>LEON EURIBE PEDRO ENRIQUE</t>
  </si>
  <si>
    <t>15.79</t>
  </si>
  <si>
    <t>enrique.leon@autonomadeica.edu.pe</t>
  </si>
  <si>
    <t>LEVANO DE PEÑA ELITA DEL PILAR</t>
  </si>
  <si>
    <t>14.72</t>
  </si>
  <si>
    <t>elita.levano@autonomadeica.edu.pe</t>
  </si>
  <si>
    <t>LLAUCA VALVERDE EDITH LUISA</t>
  </si>
  <si>
    <t>15.47</t>
  </si>
  <si>
    <t>edith.llauca@autonomadeica.edu.pe</t>
  </si>
  <si>
    <t>MARTINEZ LOZA CYNTHIA PAMELA</t>
  </si>
  <si>
    <t>16.49</t>
  </si>
  <si>
    <t>cynthia.martinez@autonomadeica.edu.pe</t>
  </si>
  <si>
    <t>952 400 502</t>
  </si>
  <si>
    <t>MARTINEZ PEREZ BRENDA LEE</t>
  </si>
  <si>
    <t>16.12</t>
  </si>
  <si>
    <t>brenda.martinez@autonomadeica.edu.pe</t>
  </si>
  <si>
    <t>MATTA UCHUYA VICTOR HUGO</t>
  </si>
  <si>
    <t>15.04</t>
  </si>
  <si>
    <t>victor.matta@autonomadeica.edu.pe</t>
  </si>
  <si>
    <t>MEDINA GUERRERO MERICI INGRID</t>
  </si>
  <si>
    <t>16.50</t>
  </si>
  <si>
    <t>merici.medina@autonomadeica.edu.pe</t>
  </si>
  <si>
    <t>MENDOZA SALVATIERRA ROSARIO VICTORIA</t>
  </si>
  <si>
    <t>14.61</t>
  </si>
  <si>
    <t>victoria.mendoza@autonomadeica.edu.pe</t>
  </si>
  <si>
    <t>MOQUILLAZA ALCA CARMEN ROSA</t>
  </si>
  <si>
    <t>TECNOLOGÍA MÉDICA - EEGG</t>
  </si>
  <si>
    <t>16.45</t>
  </si>
  <si>
    <t>carmen.moquillaza@autonomadeica.edu.pe</t>
  </si>
  <si>
    <t>MORALES QUISPE HEDDY TERESA</t>
  </si>
  <si>
    <t>14.07</t>
  </si>
  <si>
    <t>heddy.morales@autonomadeica.edu.pe</t>
  </si>
  <si>
    <t>MUNAYCO MESIAS IRIS</t>
  </si>
  <si>
    <t>15.31</t>
  </si>
  <si>
    <t>iris.munayco@autonomadeica.edu.pe </t>
  </si>
  <si>
    <t>NIETO GAVILANO PRISCILA LORENA</t>
  </si>
  <si>
    <t>priscila.nieto@autonomadeica.edu.pe</t>
  </si>
  <si>
    <t>ORELLANA AGUILAR CANDRY ARAZELY</t>
  </si>
  <si>
    <t>16.56</t>
  </si>
  <si>
    <t>candry.orellana@autonomadeica.edu.pe</t>
  </si>
  <si>
    <t>ORMEÑO QUIJANDRIA MARIA DEL CARMEN</t>
  </si>
  <si>
    <t>14.11</t>
  </si>
  <si>
    <t>maria.quijandria@autonomadeica.edu.pe</t>
  </si>
  <si>
    <t>ORTEGA PALOMINO JACKELINA TERESA</t>
  </si>
  <si>
    <t>jackelina.ortega@autonomadeica.edu.pe</t>
  </si>
  <si>
    <t>ORTEGA PALOMINO NAYARITT YISELA</t>
  </si>
  <si>
    <t>nayaritt.ortega@autonomadeica.edu.pe</t>
  </si>
  <si>
    <t>944 477 311</t>
  </si>
  <si>
    <t>PACHAS ALMEYDA ELIZABETH DIONET</t>
  </si>
  <si>
    <t>15.53</t>
  </si>
  <si>
    <t>elizabeth.pachas@autonomadeica.edu.pe</t>
  </si>
  <si>
    <t>920017421_x000D_</t>
  </si>
  <si>
    <t>PACHAS RAMOS ALLINSON MARINA</t>
  </si>
  <si>
    <t>16.97</t>
  </si>
  <si>
    <t>allinson.pachas@autonomadeica.edu.pe</t>
  </si>
  <si>
    <t>PERALTA ROLDAN ELVIS SERGIO</t>
  </si>
  <si>
    <t>15.70</t>
  </si>
  <si>
    <t>elvis.peralta@autonomadeica.edu.pe</t>
  </si>
  <si>
    <t>PEREZ CABRERA NURY SARAI</t>
  </si>
  <si>
    <t>15.46</t>
  </si>
  <si>
    <t>nury.perez@autonomadeica.edu.pe</t>
  </si>
  <si>
    <t>PINO RAMOS MIRTHA LIDIA</t>
  </si>
  <si>
    <t>16.74</t>
  </si>
  <si>
    <t>mirtha.pino@autonomadeica.edu.pe</t>
  </si>
  <si>
    <t>961 036 250</t>
  </si>
  <si>
    <t>POZO CANALES JOEL EMILIO</t>
  </si>
  <si>
    <t>15.65</t>
  </si>
  <si>
    <t>joel.pozo@autonomadeica.edu.pe</t>
  </si>
  <si>
    <t>QUEVEDO MEDINA HERCILIA</t>
  </si>
  <si>
    <t>17.34</t>
  </si>
  <si>
    <t>hercilia.quevedo@autonomadeica.edu.pe</t>
  </si>
  <si>
    <t>QUIJAITE MUNARRIZ LIZZETH THALIA</t>
  </si>
  <si>
    <t>18.16</t>
  </si>
  <si>
    <t>lizzeth.quijaite@autonomadeica.edu.pe</t>
  </si>
  <si>
    <t>QUINTANA ANGULO ALEXANDER LEONARDO</t>
  </si>
  <si>
    <t>14.53</t>
  </si>
  <si>
    <t>alexander.quintana@autonomadeica.edu.pe</t>
  </si>
  <si>
    <t>QUIROZ MARCELO DAVID SAUL</t>
  </si>
  <si>
    <t>14.82</t>
  </si>
  <si>
    <t>saul.quiroz@autonomadeica.edu.pe</t>
  </si>
  <si>
    <t>QUISPE PADILLA INES JESUS</t>
  </si>
  <si>
    <t>ines.quispe@autonomadeica.edu.pe</t>
  </si>
  <si>
    <t>956644625/056-782092</t>
  </si>
  <si>
    <t>QUISPE TORRES MARIA GLORIA</t>
  </si>
  <si>
    <t>17.55</t>
  </si>
  <si>
    <t>maria.quispe@autonomadeica.edu.pe</t>
  </si>
  <si>
    <t>956 930 937</t>
  </si>
  <si>
    <t>RAMOS ESCAJADILLO XENIA KARIN</t>
  </si>
  <si>
    <t>xenia.ramos@autonomadeica.edu.pe</t>
  </si>
  <si>
    <t>ROBLES CABRERA YOVER ELVIS</t>
  </si>
  <si>
    <t>16.10</t>
  </si>
  <si>
    <t>yover.robles@autonomadeica.edu.pe</t>
  </si>
  <si>
    <t>RODRIGUEZ CALDERON RENZO EMERSON</t>
  </si>
  <si>
    <t>15.09</t>
  </si>
  <si>
    <t>renzo.rodriguez@autonomadeica.edu.pe</t>
  </si>
  <si>
    <t>RODRIGUEZ PALOMINO LUISA ANGELICA</t>
  </si>
  <si>
    <t>15.35</t>
  </si>
  <si>
    <t>luisa.rodriguez@autonomadeica.edu.pe</t>
  </si>
  <si>
    <t>ROJAS RUIZ FRANCISCO BERNARDINO</t>
  </si>
  <si>
    <t>francisco.rojas@autonomadeica.edu.pe</t>
  </si>
  <si>
    <t>RUIZ OCAMPO JUAN CARLOS</t>
  </si>
  <si>
    <t>juancarlos.ruiz@autonomadeica.edu.pe</t>
  </si>
  <si>
    <t>SARAVIA YATACO CARMEN ROSA</t>
  </si>
  <si>
    <t>15.78</t>
  </si>
  <si>
    <t>rosa.saravia@autonomadeica.edu.pe</t>
  </si>
  <si>
    <t>SARMIENTO GUILLEN PAUL ALEJANDRO</t>
  </si>
  <si>
    <t>16.78</t>
  </si>
  <si>
    <t>paul.sarmiento@autonomadeica.edu.pe</t>
  </si>
  <si>
    <t>SEDANO MIRAVAL ENMA ZORAIDA</t>
  </si>
  <si>
    <t>enma.sedano@autonomadeica.edu.pe</t>
  </si>
  <si>
    <t>SOTELO OCHOA ADA VERONICA</t>
  </si>
  <si>
    <t>14.97</t>
  </si>
  <si>
    <t>ada.sotelo@autonomadeica.edu.pe</t>
  </si>
  <si>
    <t>SUCZO CHAIÑA MERVY LUCY</t>
  </si>
  <si>
    <t>mervy.suczo@autonomadeica.edu.pe</t>
  </si>
  <si>
    <t>956533785/056771690</t>
  </si>
  <si>
    <t>TAMAYO ARTEAGA CARMEN ROSA JESUS</t>
  </si>
  <si>
    <t>carmen.tamayo@autonomadeica.edu.pe</t>
  </si>
  <si>
    <t>TITO LOAYZA KEYMA MARITHA</t>
  </si>
  <si>
    <t>keyma.tito@autonomadeica.edu.pe</t>
  </si>
  <si>
    <t>URIBE SOTIL DIAMDRA OLGA</t>
  </si>
  <si>
    <t>16.17</t>
  </si>
  <si>
    <t>diamdra.uribe@autonomadeica.edu.pe</t>
  </si>
  <si>
    <t>VALDIVIEZO GUEVARA MARLITT</t>
  </si>
  <si>
    <t>15.89</t>
  </si>
  <si>
    <t>marlitt.valdiviezo@autonomadeica.edu.pe</t>
  </si>
  <si>
    <t>ZEGARRA LEON NADIA LIANY</t>
  </si>
  <si>
    <t>nadia.zegarra@autonomadeica.edu.pe</t>
  </si>
  <si>
    <t>VARGAS PRADO KELLY FARA</t>
  </si>
  <si>
    <t>16.67</t>
  </si>
  <si>
    <t>kelly.vargas@autonomadeica.edu.pe</t>
  </si>
  <si>
    <t>972290521/ (056) 604284</t>
  </si>
  <si>
    <t>PROPUESTA DE RENOVACIÓN DOCENTE TP PARA SEMESTRE ACADÉMICO 2026-1
FACULTAD DE CIENCIAS DE LA SALUD</t>
  </si>
  <si>
    <t>ALIAGA RUIZ MINA ANGELICA</t>
  </si>
  <si>
    <t>15.71</t>
  </si>
  <si>
    <t>mina.aliaga@autonomadeica.edu.pe</t>
  </si>
  <si>
    <t>ALVAREZ GARCIA TERESA ELVIRA</t>
  </si>
  <si>
    <t>14.27</t>
  </si>
  <si>
    <t>teresa.alvarez@autonomadeica.edu.pe</t>
  </si>
  <si>
    <t>ANCAJIMA RUIZ ANDREA BETTY</t>
  </si>
  <si>
    <t>16.82</t>
  </si>
  <si>
    <t>andrea.ancajima@autonomadeica.edu.pe </t>
  </si>
  <si>
    <t>ANICAMA BERNAOLA PEDRO ARTURO</t>
  </si>
  <si>
    <t>15.36</t>
  </si>
  <si>
    <t>pedro.anicama@autonomadeica.edu.pe</t>
  </si>
  <si>
    <t>AQUIJE DAPOZZO EDWAR VIDAL</t>
  </si>
  <si>
    <t>15.92</t>
  </si>
  <si>
    <t>edwar.aquije@autonomadeica.edu.pe</t>
  </si>
  <si>
    <t>ARIZOLA AGUADO ALICIA ANTOINETTE</t>
  </si>
  <si>
    <t>15.17</t>
  </si>
  <si>
    <t>alicia.arizola@autonomadeica.edu.pe</t>
  </si>
  <si>
    <t>AROTUMA GRANDA HECTOR JUAN CARLOS</t>
  </si>
  <si>
    <t>16.46</t>
  </si>
  <si>
    <t>hector.arotuma@autonomadeica.edu.pe</t>
  </si>
  <si>
    <t>ATUNCAR SUENG DORA ROSARIO</t>
  </si>
  <si>
    <t>15.19</t>
  </si>
  <si>
    <t>dora.atuncar@autonomadeica.edu.pe</t>
  </si>
  <si>
    <t>BAÑOS RAMOS JUAN CARLOS</t>
  </si>
  <si>
    <t>15.01</t>
  </si>
  <si>
    <t>juancarlos.ramos@autonomadeica.edu.pe</t>
  </si>
  <si>
    <t>BARRIENTOS RAMOS VICTOR HUGO</t>
  </si>
  <si>
    <t>13.02</t>
  </si>
  <si>
    <t>victor.barrientos@autonomadeica.edu.pe</t>
  </si>
  <si>
    <t>BERROSPI VARGAS ANA ELVA</t>
  </si>
  <si>
    <t>16.73</t>
  </si>
  <si>
    <t>ana.berrospi@autonomadeica.edu.pe</t>
  </si>
  <si>
    <t>956001506/956722157</t>
  </si>
  <si>
    <t>CABRERA VELASQUEZ MEYLAN ALLIZA</t>
  </si>
  <si>
    <t>14.05</t>
  </si>
  <si>
    <t>meylan.cabrera@autonomadeica.edu.pe</t>
  </si>
  <si>
    <t xml:space="preserve"> 948423070_x000D_</t>
  </si>
  <si>
    <t>CAHUA DIAZ DEYSI MARIBEL</t>
  </si>
  <si>
    <t>deysi.cahua@autonomadeica.edu.pe</t>
  </si>
  <si>
    <t>CAMPIAN LAZO YONAL IGNACIO</t>
  </si>
  <si>
    <t>yonal.campian@autonomadeica.edu.pe</t>
  </si>
  <si>
    <t>CANALES INGA WENDY VIVIANA</t>
  </si>
  <si>
    <t>16.24</t>
  </si>
  <si>
    <t>viviana.canales@autonomadeica.edu.pe</t>
  </si>
  <si>
    <t>CANDELA CUBILLAS HUBER AGUSTIN</t>
  </si>
  <si>
    <t>15.12</t>
  </si>
  <si>
    <t>huber.candela@autonomadeica.edu.pe</t>
  </si>
  <si>
    <t>CARBONEL RAMIREZ HANS HENRY</t>
  </si>
  <si>
    <t>13.48</t>
  </si>
  <si>
    <t>hans.carbonel@autonomadeica.edu.pe</t>
  </si>
  <si>
    <t>CARDENAS GALVEZ YESE YOBANA</t>
  </si>
  <si>
    <t>14.30</t>
  </si>
  <si>
    <t>yese.cardenas@autonomadeica.edu.pe</t>
  </si>
  <si>
    <t>CARDENAS LANDEO NANCY</t>
  </si>
  <si>
    <t>13.08</t>
  </si>
  <si>
    <t>nancy.cardenas@autonomadeica.edu.pe</t>
  </si>
  <si>
    <t>CARDENAS ZEDANO WILLIAM JESUS</t>
  </si>
  <si>
    <t>willian.cardenas@autonomadeica.edu.pe</t>
  </si>
  <si>
    <t>CASTILLA TUBILLA JEANINA LISETH</t>
  </si>
  <si>
    <t>15.67</t>
  </si>
  <si>
    <t>jeanina.castilla@autonomadeica.edu.pe</t>
  </si>
  <si>
    <t>CASTILLO ESPINOZA GUILLERMO EMILIO</t>
  </si>
  <si>
    <t>14.77</t>
  </si>
  <si>
    <t>guillermo.castillo@autonomadeica.edu.pe</t>
  </si>
  <si>
    <t>CASTRO ANTEZANA HARDY TERESA</t>
  </si>
  <si>
    <t>14.33</t>
  </si>
  <si>
    <t>hardy.castro@autonomadeica.edu.pe</t>
  </si>
  <si>
    <t>CHACALTANA ESCATE CARMEN EDELMIRA</t>
  </si>
  <si>
    <t>15.13</t>
  </si>
  <si>
    <t>carmen.chacaltana@autonomadeica.edu.pe</t>
  </si>
  <si>
    <t>CHAVARRIA DELGADO JANIS JAVIER TOMAS</t>
  </si>
  <si>
    <t>16.76</t>
  </si>
  <si>
    <t>janis.chavarria@autonomadeica.edu.pe</t>
  </si>
  <si>
    <t>CHECCLLO TENORIO ADIN MEZOLLAM</t>
  </si>
  <si>
    <t>14.36</t>
  </si>
  <si>
    <t>adin.checcllo@autonomadeica.edu.pe</t>
  </si>
  <si>
    <t>COCHACHI PURAY JAQUELINE NOEMI</t>
  </si>
  <si>
    <t>15.87</t>
  </si>
  <si>
    <t>jaqueline.cochachi@autonomadeica.edu.pe</t>
  </si>
  <si>
    <t>COLQUEPISCO PAUCAR NILO TEODORICO</t>
  </si>
  <si>
    <t>ENFERMERÍA - EEGG;PSICOLOGÍA - EEGG;OBSTETRICIA - EEGG</t>
  </si>
  <si>
    <t>15.98</t>
  </si>
  <si>
    <t>nilo.colquepisco@autonomadeica.edu.pe</t>
  </si>
  <si>
    <t>CORNEJO PURILLA SUGEY PILAR</t>
  </si>
  <si>
    <t>sugey.cornejo@autonomadeica.edu.pe</t>
  </si>
  <si>
    <t>CORREA VERGARA JORGE LUIS</t>
  </si>
  <si>
    <t>16.29</t>
  </si>
  <si>
    <t>jorge.correa@autonomadeica.edu.pe</t>
  </si>
  <si>
    <t xml:space="preserve"> 949680011_x000D_</t>
  </si>
  <si>
    <t>COSIATADO URBANO RAUL JESUS</t>
  </si>
  <si>
    <t>raul.cosiatado@autonomadeica.edu.pe</t>
  </si>
  <si>
    <t>CRISOSTOMO POMA PEDRO GUSTAVO</t>
  </si>
  <si>
    <t>15.50</t>
  </si>
  <si>
    <t>pedro.crisostomo@autonomadeica.edu.pe</t>
  </si>
  <si>
    <t>CUBA CARRILLO FATIMA ELIZABETH</t>
  </si>
  <si>
    <t>15.34</t>
  </si>
  <si>
    <t>fatima.cuba@autonomadeica.edu.pe</t>
  </si>
  <si>
    <t>DE LA CRUZ CHIPANA DE RAMIREZ MARIA DEL ROSARIO</t>
  </si>
  <si>
    <t>14.93</t>
  </si>
  <si>
    <t>delrosario.delacruz@autonomadeica.edu.pe</t>
  </si>
  <si>
    <t>056-403026 / 951530280</t>
  </si>
  <si>
    <t>DE LA CRUZ CHIPANA HILDA MILAGRITOS</t>
  </si>
  <si>
    <t>16.90</t>
  </si>
  <si>
    <t>milagritos.delacruz@autonomadeica.edu.pe</t>
  </si>
  <si>
    <t>956998231_x000D_</t>
  </si>
  <si>
    <t>DEL RIO MENDOZA JENY ROSANNA JULIA</t>
  </si>
  <si>
    <t>14.22</t>
  </si>
  <si>
    <t>jeny.delrio@autonomadeica.edu.pe</t>
  </si>
  <si>
    <t>DELGADO RIOS FATIMA NATALIA</t>
  </si>
  <si>
    <t>JEFE DE PRACTICAS</t>
  </si>
  <si>
    <t>DIAZ RODRIGUEZ JUAN JOSE</t>
  </si>
  <si>
    <t>15.06</t>
  </si>
  <si>
    <t>juanjose.diaz@autonomadeica.edu.pe</t>
  </si>
  <si>
    <t>ECOS ESPINO JULIO CESAR</t>
  </si>
  <si>
    <t>15.45</t>
  </si>
  <si>
    <t>julio.ecos@autonomadeica.edu.pe</t>
  </si>
  <si>
    <t>FABIÁN RAMÍREZ JENNER</t>
  </si>
  <si>
    <t>16.40</t>
  </si>
  <si>
    <t>jenner.fabian@autonomadeica.edu.pe</t>
  </si>
  <si>
    <t>FERNANDEZ CABRERA ERIKA MERLY</t>
  </si>
  <si>
    <t>erika.fernandez@autonomadeica.edu.pe</t>
  </si>
  <si>
    <t>FRANCO SARDON SHIRLEY JANE</t>
  </si>
  <si>
    <t>shirley.franco@autonomadeica.edu.pe</t>
  </si>
  <si>
    <t>GALVEZ ARQUIÑIVA EDWIN JOSE</t>
  </si>
  <si>
    <t>16.51</t>
  </si>
  <si>
    <t>edwin.galvez@autonomadeica.edu.pe</t>
  </si>
  <si>
    <t>GERÓNIMO ACUACHE BRYAN WILBERTO</t>
  </si>
  <si>
    <t>14.39</t>
  </si>
  <si>
    <t>bryan.geronimo@autonomadeica.edu.pe</t>
  </si>
  <si>
    <t>GIRONZINI PECHIAROVICH DAVID ALDO</t>
  </si>
  <si>
    <t>david.gironzini@autonomadeica.edu.pe</t>
  </si>
  <si>
    <t>GOMEZ DONAYRE MARITZA YOVANA</t>
  </si>
  <si>
    <t>yovana.gomez@autonomadeica.edu.pe</t>
  </si>
  <si>
    <t>GONZALES CHUNG LUIS ENRIQUE</t>
  </si>
  <si>
    <t>luis.gonzales@autonomadeica.edu.pe</t>
  </si>
  <si>
    <t>GUEVARA SANCHEZ ANA CECILIA</t>
  </si>
  <si>
    <t>16.62</t>
  </si>
  <si>
    <t>cecilia.guevara@autonomadeica.edu.pe</t>
  </si>
  <si>
    <t>GUGLIERMINO GALLEGOS LORENA MILAGROS</t>
  </si>
  <si>
    <t>15.58</t>
  </si>
  <si>
    <t>lorena.gugliermino@autonomadeica.edu.pe</t>
  </si>
  <si>
    <t>HERNANDEZ DE LA CRUZ ROSA VICTORIA</t>
  </si>
  <si>
    <t>victoria.hernandez@autonomadeica.edu.pe</t>
  </si>
  <si>
    <t>HERNANDEZ MAYTAHUARI PATRICIA DEL ROSARIO</t>
  </si>
  <si>
    <t>patricia.hernandez@autonomadeica.edu.pe</t>
  </si>
  <si>
    <t>HERNANDEZ MORON GLENDA YESSENIA</t>
  </si>
  <si>
    <t>15.93</t>
  </si>
  <si>
    <t>glenda.hernandez@autonomadeica.edu.pe</t>
  </si>
  <si>
    <t>HERNANDEZ PASACHE FARITZA LISSET</t>
  </si>
  <si>
    <t>faritza.hernandez@autonomadeica.edu.pe</t>
  </si>
  <si>
    <t>HUAMAN OROSCO GUSTAVO</t>
  </si>
  <si>
    <t>14.29</t>
  </si>
  <si>
    <t>gustavo.huaman@autonomadeica.edu.pe</t>
  </si>
  <si>
    <t>INFANTE VALDEZ KATIZA KARLA</t>
  </si>
  <si>
    <t>15.02</t>
  </si>
  <si>
    <t>katiza.infante@autonomadeica.edu.pe</t>
  </si>
  <si>
    <t>JUAREZ DE TIPACTI JULIA ELIZABETH</t>
  </si>
  <si>
    <t>julia.juarez@autonomadeica.edu.pe</t>
  </si>
  <si>
    <t>LAMA LANDABURU GERARDO SANTIAGO</t>
  </si>
  <si>
    <t>gerardo.lama@autonomadeica.edu.pe</t>
  </si>
  <si>
    <t xml:space="preserve"> 991 874 828 </t>
  </si>
  <si>
    <t>LARIOS MENDOZA JAVIER IVAN</t>
  </si>
  <si>
    <t>14.79</t>
  </si>
  <si>
    <t>javier.larios@autonomadeica.edu.pe</t>
  </si>
  <si>
    <t>LEGUA BARRIOS MIRIAM JESUS</t>
  </si>
  <si>
    <t>16.14</t>
  </si>
  <si>
    <t>miriam.legua@autonomadeica.edu.pe</t>
  </si>
  <si>
    <t>LENGUA SOTELO MARIA YSABEL</t>
  </si>
  <si>
    <t>maria.lengua@autonomadeica.edu.pe</t>
  </si>
  <si>
    <t>LEVANO LEVANO VICTOR ALEJANDRO</t>
  </si>
  <si>
    <t>alejandro.levano@autonomadeica.edu.pe</t>
  </si>
  <si>
    <t xml:space="preserve"> 987371641_x000D_</t>
  </si>
  <si>
    <t>LEVANO SARMIENTO HECTOR EDUARDO</t>
  </si>
  <si>
    <t>16.02</t>
  </si>
  <si>
    <t>hector.levano@autonomadeica.edu.pe</t>
  </si>
  <si>
    <t>LEY GARCIA CESAR ALBERTO</t>
  </si>
  <si>
    <t>13.25</t>
  </si>
  <si>
    <t>cesar.ley@autonomadeica.edu.pe</t>
  </si>
  <si>
    <t>LLANTO CANCHOS JOSE ANGEL</t>
  </si>
  <si>
    <t>16.26</t>
  </si>
  <si>
    <t>jose.llanto@autonomadeica.edu.pe</t>
  </si>
  <si>
    <t>LOPEZ CUADROS MARIA FIORELLA</t>
  </si>
  <si>
    <t>fiorella.lopez@autonomadeica.edu.pe</t>
  </si>
  <si>
    <t>LOYOLA ALMEYDA VICTOR MANUEL</t>
  </si>
  <si>
    <t>victor.loyola@autonomadeica.edu.pe</t>
  </si>
  <si>
    <t>MAGALLANES MENDOZA LISSET DIONELA</t>
  </si>
  <si>
    <t>lisset.magallanes@autonomadeica.edu.pe</t>
  </si>
  <si>
    <t>MARTINEZ MUÑANTE RICARDO DAVID</t>
  </si>
  <si>
    <t>ricardo.martinez@autonomadeica.edu.pe</t>
  </si>
  <si>
    <t>965 393 846</t>
  </si>
  <si>
    <t>MATTA GONZALES LOURDES EVELINA</t>
  </si>
  <si>
    <t>lourdes.matta@autonomadeica.edu.pe</t>
  </si>
  <si>
    <t>MAYTA FRANCIA JOSE LUIS REYNALDO</t>
  </si>
  <si>
    <t>16.61</t>
  </si>
  <si>
    <t>jose.mayta@autonomadeica.edu.pe</t>
  </si>
  <si>
    <t>MEJÍA GAMBOA DANY MARGOT</t>
  </si>
  <si>
    <t>16.01</t>
  </si>
  <si>
    <t>dany.mejia@autonomadeica.edu.pe</t>
  </si>
  <si>
    <t>MENDOZA LUYO MAX ANTONIO</t>
  </si>
  <si>
    <t>13.56</t>
  </si>
  <si>
    <t>max.mendoza@autonomadeica.edu.pe</t>
  </si>
  <si>
    <t>MENESES JIMENEZ JOSE ANGEL</t>
  </si>
  <si>
    <t>16.11</t>
  </si>
  <si>
    <t>jose.meneses@autonomadeica.edu.pe</t>
  </si>
  <si>
    <t>MEZA HUAYAPOMA GLADYS MARLENE</t>
  </si>
  <si>
    <t>14.02</t>
  </si>
  <si>
    <t>gladys.meza@autonomadeica.edu.pe</t>
  </si>
  <si>
    <t>MIRANDA SILVERIO ROSA ISABEL</t>
  </si>
  <si>
    <t>16.09</t>
  </si>
  <si>
    <t>rosa.miranda@autonomadeica.edu.pe</t>
  </si>
  <si>
    <t>MORON SALCEDO YSABEL CECILIA</t>
  </si>
  <si>
    <t>14.94</t>
  </si>
  <si>
    <t>ysabel.moron@autonomadeica.edu.pe</t>
  </si>
  <si>
    <t>MUCHAYPIÑA SUAREZ LOURDES LIZETH</t>
  </si>
  <si>
    <t>16.81</t>
  </si>
  <si>
    <t>lourdes.muchaypina@autonomadeica.edu.pe</t>
  </si>
  <si>
    <t>MUÑANTE NEYRA ROSARIO DEL PILAR</t>
  </si>
  <si>
    <t>rosario.munante@autonomadeica.edu.pe</t>
  </si>
  <si>
    <t>ORMEÑO FLORES ROSARIO MARIA</t>
  </si>
  <si>
    <t>13.22</t>
  </si>
  <si>
    <t>rosariomaria.ormeno@autonomadeica.edu.pe</t>
  </si>
  <si>
    <t>PABLO AGAMA ELIZABETH JUDITH</t>
  </si>
  <si>
    <t>elizabeth.pablo@autonomadeica.edu.pe</t>
  </si>
  <si>
    <t>PACHAS MORAN SONIA</t>
  </si>
  <si>
    <t>sonia.pachas@autonomadeica.edu.pe</t>
  </si>
  <si>
    <t>PACHAS ROSPIGLIOSI JAVIER ANGEL</t>
  </si>
  <si>
    <t>16.37</t>
  </si>
  <si>
    <t>javier.pachas@autonomadeica.edu.pe</t>
  </si>
  <si>
    <t>PAICO VENTURA DORIS UDELIA</t>
  </si>
  <si>
    <t>14.28</t>
  </si>
  <si>
    <t>doris.paico@autonomadeica.edu.pe</t>
  </si>
  <si>
    <t>PAITAN CAHUA ANTONIO WILMER</t>
  </si>
  <si>
    <t>15.81</t>
  </si>
  <si>
    <t>antonio.paitan@autonomadeica.edu.pe</t>
  </si>
  <si>
    <t>PARIONA ESPINO KAREM JULISSA</t>
  </si>
  <si>
    <t>julissa.pariona@autonomadeica.edu.pe</t>
  </si>
  <si>
    <t>904 576 637</t>
  </si>
  <si>
    <t>PEÑALOZA REYNAGA RHOY CROSSMER</t>
  </si>
  <si>
    <t>16.21</t>
  </si>
  <si>
    <t>rhoy.penaloza@autonomadeica.edu.pe</t>
  </si>
  <si>
    <t>PINTO BORJA JAIME AUGUSTO</t>
  </si>
  <si>
    <t>16.42</t>
  </si>
  <si>
    <t>jaime.pinto@autonomadeica.edu.pe</t>
  </si>
  <si>
    <t>PIZARRO MONCADA CHRISTIAN DAVID</t>
  </si>
  <si>
    <t>14.25</t>
  </si>
  <si>
    <t>christian.pizarro@autonomadeica.edu.pe</t>
  </si>
  <si>
    <t>PORTAL ALMEYDA ELSIE ESTEFANNI</t>
  </si>
  <si>
    <t>15.90</t>
  </si>
  <si>
    <t>elsie.portal@autonomadeica.edu.pe</t>
  </si>
  <si>
    <t>PRADO MINCHOLA GUILLERMO OSCAR</t>
  </si>
  <si>
    <t>14.41</t>
  </si>
  <si>
    <t>guillermo.prado@autonomadeica.edu.pe</t>
  </si>
  <si>
    <t>QUIJANO SAENZ DENNIS WLADIMIR</t>
  </si>
  <si>
    <t>15.40</t>
  </si>
  <si>
    <t>dennis.quijano@autonomadeica.edu.pe</t>
  </si>
  <si>
    <t>QUIJANO SAENZ DEYSI MARIBEL</t>
  </si>
  <si>
    <t>16.69</t>
  </si>
  <si>
    <t>deysi.quijano@autonomadeica.edu.pe</t>
  </si>
  <si>
    <t>QUISPE PACHAS MILLY SOLEDAD</t>
  </si>
  <si>
    <t>14.73</t>
  </si>
  <si>
    <t>milly.quispe@autonomadeica.edu.pe</t>
  </si>
  <si>
    <t>RAMOS CHAVEZ GIOVANA PILAR</t>
  </si>
  <si>
    <t>16.15</t>
  </si>
  <si>
    <t>giovana.ramos@autonomadeica.edu.pe</t>
  </si>
  <si>
    <t>RAMOS DE LA ROSA KAROL KRISTEL</t>
  </si>
  <si>
    <t>16.68</t>
  </si>
  <si>
    <t>karol.ramos@autonomadeica.edu.pe</t>
  </si>
  <si>
    <t>RAMOS TAYPE MIGUEL ANGEL</t>
  </si>
  <si>
    <t>12.43</t>
  </si>
  <si>
    <t>angel.ramos@autonomadeica.edu.pe</t>
  </si>
  <si>
    <t>RAYME MENESES JOSE LUIS</t>
  </si>
  <si>
    <t>jose.rayme@autonomadeica.edu.pe</t>
  </si>
  <si>
    <t>REYES RUIZ JULIA LUZMILA</t>
  </si>
  <si>
    <t>julia.reyes@autonomadeica.edu.pe</t>
  </si>
  <si>
    <t>RIOS SOTO GLADYS MANUELA</t>
  </si>
  <si>
    <t>gladys.rios@autonomadeica.edu.pe</t>
  </si>
  <si>
    <t>RIVERA ROJAS CLAUDIA NOEMI</t>
  </si>
  <si>
    <t>14.10</t>
  </si>
  <si>
    <t>claudia.rivera@autonomadeica.edu.pe</t>
  </si>
  <si>
    <t>ROJAS HILARIO JIMMY SERVULO</t>
  </si>
  <si>
    <t>14.98</t>
  </si>
  <si>
    <t>jimmy.rojas@autonomadeica.edu.pe</t>
  </si>
  <si>
    <t>ROJAS MENDIVIL MIGUEL ANGEL</t>
  </si>
  <si>
    <t>14.68</t>
  </si>
  <si>
    <t>miguel.rojas@autonomadeica.edu.pe</t>
  </si>
  <si>
    <t>975 577580</t>
  </si>
  <si>
    <t>ROMANI PILLPE GUILLERMO</t>
  </si>
  <si>
    <t>14.75</t>
  </si>
  <si>
    <t>guillermo.romani@autonomadeica.edu.pe</t>
  </si>
  <si>
    <t>SALOME BARZOLA VICTOR RAUL</t>
  </si>
  <si>
    <t>16.19</t>
  </si>
  <si>
    <t>victor.salome@autonomadeica.edu.pe</t>
  </si>
  <si>
    <t>SUAREZ CAJO JULIA RUTH</t>
  </si>
  <si>
    <t>14.96</t>
  </si>
  <si>
    <t>ruth.suarez@autonomadeica.edu.pe</t>
  </si>
  <si>
    <t>SUAREZ QUIROZ RONAL ELVIS</t>
  </si>
  <si>
    <t>ronal.suarez@autonomadeica.edu.pe</t>
  </si>
  <si>
    <t>SULCA ROJAS JULIO CESAR</t>
  </si>
  <si>
    <t>julio.sulca@autonomadeica.edu.pe</t>
  </si>
  <si>
    <t>TIRADO BARRON OSCAR MIGUEL</t>
  </si>
  <si>
    <t>oscar.tirado@autonomadeica.edu.pe</t>
  </si>
  <si>
    <t xml:space="preserve"> 990146270_x000D_</t>
  </si>
  <si>
    <t>TORNERO MEDINA BELISA ROSALBA</t>
  </si>
  <si>
    <t>belisa.tornero@autonomadeica.edu.pe</t>
  </si>
  <si>
    <t>URBANO LUCANA SEFERINA SARAFINA</t>
  </si>
  <si>
    <t>seferina.urbano@autonomadeica.edu.pe</t>
  </si>
  <si>
    <t> </t>
  </si>
  <si>
    <t>VALENCIA GARRIAZO EBER</t>
  </si>
  <si>
    <t>eber.valencia@autonomadeica.edu.pe</t>
  </si>
  <si>
    <t>VALENCIA ORMEÑO JANET ROSARIO</t>
  </si>
  <si>
    <t>16.77</t>
  </si>
  <si>
    <t>janet.valencia@autonomadeica.edu.pe</t>
  </si>
  <si>
    <t>VALLEJOS CASTILLO KARINA DALILA</t>
  </si>
  <si>
    <t>14.95</t>
  </si>
  <si>
    <t>karina.vallejos@autonomadeica.edu.pe</t>
  </si>
  <si>
    <t>VARGAS HUAMANTUMBA YAMELY</t>
  </si>
  <si>
    <t>yamely.vargas@autonomadeica.edu.pe</t>
  </si>
  <si>
    <t>VARGAS TASAYCO MIGUEL ANGEL</t>
  </si>
  <si>
    <t>16.07</t>
  </si>
  <si>
    <t>miguelangel.vargas@autonomadeica.edu.pe</t>
  </si>
  <si>
    <t>VASQUEZ CABALLERO DEISSY ALINA</t>
  </si>
  <si>
    <t>16.32</t>
  </si>
  <si>
    <t>deissy.vasquez@autonomadeica.edu.pe</t>
  </si>
  <si>
    <t xml:space="preserve"> 924110340_x000D_</t>
  </si>
  <si>
    <t>VASQUEZ RAMOS JHOSSELYN NATALYE</t>
  </si>
  <si>
    <t>jhosselyn.vasquez@autonomadeica.edu.pe</t>
  </si>
  <si>
    <t>VASQUEZ TREJO CESAR WILFREDO</t>
  </si>
  <si>
    <t>16.48</t>
  </si>
  <si>
    <t>wilfredo.vasquez@autonomadeica.edu.pe</t>
  </si>
  <si>
    <t>VELASQUEZ VELASQUEZ ROSA MARIA</t>
  </si>
  <si>
    <t>rosa.velasquez@autonomadeica.edu.pe</t>
  </si>
  <si>
    <t>VELIS ALVA DE VILLARREAL LUZ MARIA ESPERANZA</t>
  </si>
  <si>
    <t>13.88</t>
  </si>
  <si>
    <t>luz.velis@autonomadeica.edu.pe</t>
  </si>
  <si>
    <t>VENEGAS ROJAS ADOLFO</t>
  </si>
  <si>
    <t>adolfo.venegas@autonomadeica.edu.pe</t>
  </si>
  <si>
    <t>VENTURA FERNANDEZ FREDDY GUSTAVO</t>
  </si>
  <si>
    <t>16.55</t>
  </si>
  <si>
    <t>freddy.ventura@autonomadeica.edu.pe</t>
  </si>
  <si>
    <t>VERA MENDOZA FELIX JESUS</t>
  </si>
  <si>
    <t>14.81</t>
  </si>
  <si>
    <t>felix.vera@autonomadeica.edu.pe</t>
  </si>
  <si>
    <t>VICUÑA RAMIREZ MARIO JESUS</t>
  </si>
  <si>
    <t>mario.vicuna@autonomadeica.edu.pe</t>
  </si>
  <si>
    <t>VIDALON SOLDEVILLA ETHEL</t>
  </si>
  <si>
    <t>16.59</t>
  </si>
  <si>
    <t>ethel.vidalon@autonomadeica.edu.pe</t>
  </si>
  <si>
    <t>VILLANUEVA CARDENAS GLADIS JANE</t>
  </si>
  <si>
    <t>gladis.villanueva@autonomadeica.edu.pe</t>
  </si>
  <si>
    <t>VILLAVERDE LUCANA DANITZA SUSAN</t>
  </si>
  <si>
    <t>danitza.villaverde@autonomadeica.edu.pe</t>
  </si>
  <si>
    <t>VILLAVERDE LUCANA MAGALY ROXANA</t>
  </si>
  <si>
    <t>magaly.villaverde@autonomadeica.edu.pe</t>
  </si>
  <si>
    <t>ZAVALA ARIAS CINTIA ROSA</t>
  </si>
  <si>
    <t>15.66</t>
  </si>
  <si>
    <t>cintia.zavala@autonomadeica.edu.pe</t>
  </si>
  <si>
    <t>PROPUESTA DE RENOVACIÓN DOCENTE TC PARA SEMESTRE ACADÉMICO 2026-1
FACULTAD DE INGENIERÍA, CIENCIAS Y ADMINISTRACIÓN</t>
  </si>
  <si>
    <t>DE LA CRUZ SOSA JAKELINE MELINA</t>
  </si>
  <si>
    <t>FICA</t>
  </si>
  <si>
    <t>DERECHO - EEGG</t>
  </si>
  <si>
    <t>jakeline.delacruz@autonomadeica.edu.pe</t>
  </si>
  <si>
    <t>-</t>
  </si>
  <si>
    <t>MANDAMIENTO GRADOS DAMARIS TELMA</t>
  </si>
  <si>
    <t>damaris.mandamiento@autonomadeica.edu.pe</t>
  </si>
  <si>
    <t>ALMEYDA AVALOS CESAR AUGUSTO</t>
  </si>
  <si>
    <t>DERECHO</t>
  </si>
  <si>
    <t>cesar.almeyda@autonomadeica.edu.pe</t>
  </si>
  <si>
    <t>PROPUESTA DE RENOVACIÓN DOCENTE TP PARA SEMESTRE ACADÉMICO 2026-1
FACULTAD DE INGENIERÍA, CIENCIAS Y ADMINISTRACIÓN</t>
  </si>
  <si>
    <t>PADILLA HIZO PEDRO HERNAN</t>
  </si>
  <si>
    <t>ADMINISTRACION DE EMPRESAS</t>
  </si>
  <si>
    <t>pedro.padilla@autonomadeica.edu.pe</t>
  </si>
  <si>
    <t>PARIHUAMAN QUINDE GERALDINA REBECA</t>
  </si>
  <si>
    <t>ADMINISTRACION DE EMPRESAS - EEGG</t>
  </si>
  <si>
    <t>geraldina.parihuaman@autonomadeica.edu.pe</t>
  </si>
  <si>
    <t>PEREZ RETUERTO RONY GEANCARLO</t>
  </si>
  <si>
    <t>rony.perez@autonomadeica.edu.pe</t>
  </si>
  <si>
    <t>PIMENTEL RETUERTO CARMEN ANDREA</t>
  </si>
  <si>
    <t>carmen.pimentel@autonomadeica.edu.pe</t>
  </si>
  <si>
    <t>08684196</t>
  </si>
  <si>
    <t>REQUENA GARCIA MARIA DEL ROSARIO</t>
  </si>
  <si>
    <t>maria.requena@autonomadeica.edu.pe</t>
  </si>
  <si>
    <t>REYES ROMAN CARLOS ARTURO</t>
  </si>
  <si>
    <t>arturo.reyes@autonomadeica.edu.pe</t>
  </si>
  <si>
    <t>RIOS SANTIAGO WILSON CESAR</t>
  </si>
  <si>
    <t>wilson.rios@autonomadeica.edu.pe</t>
  </si>
  <si>
    <t>SANCHEZ SOTIL KENNICK ENRIQUE</t>
  </si>
  <si>
    <t>kennick.sanchez@autonomadeica.edu.pe</t>
  </si>
  <si>
    <t>AGUADO APOLAYA RAUL HERNANDO</t>
  </si>
  <si>
    <t>INGENIERIA INDUSTRIAL</t>
  </si>
  <si>
    <t>raul.aguado@autonomadeica.edu.pe</t>
  </si>
  <si>
    <t>AGUIRRE ESPINOZA MONICA WENDY</t>
  </si>
  <si>
    <t>monica.aguirre@autonomadeica.edu.pe</t>
  </si>
  <si>
    <t> 21569287</t>
  </si>
  <si>
    <t>ALCANTARA FARFAN JUAN CARLOS</t>
  </si>
  <si>
    <t>juan.alcantara@autonomadeica.edu.pe</t>
  </si>
  <si>
    <t>ALFARO CAYLLAHUA CARLOS HUGO</t>
  </si>
  <si>
    <t>INGENIERIA CIVIL</t>
  </si>
  <si>
    <t>carlos.alfaro@autonomadeica.edu.pe</t>
  </si>
  <si>
    <t>PROPUESTA DE INVITACION DOCENTE TP PARA SEMESTRE ACADÉMICO 2026-1
FACULTAD DE INGENIERÍA, CIENCIAS Y ADMINISTRACIÓN</t>
  </si>
  <si>
    <t>ESPINOZA MORE CARLA MILAGROS</t>
  </si>
  <si>
    <t>Horas limitadas por disponibilidad docente</t>
  </si>
  <si>
    <t>EVANGELISTA HUAYNALAYA FRANCISCO DE JESUS</t>
  </si>
  <si>
    <t>GAVINO SANCHEZ JOHN STEVENS</t>
  </si>
  <si>
    <t>LINO FLORES LUIS ANTONIO</t>
  </si>
  <si>
    <t>MENDOZA CASTILLO JUAN JOSE</t>
  </si>
  <si>
    <t>QUINTEROS NICHO LUIS FERNANDO</t>
  </si>
  <si>
    <t>RODRIGUEZ RAMIREZ MARIA ISABEL</t>
  </si>
  <si>
    <t>ROJAS GUZMAN TITO</t>
  </si>
  <si>
    <t>SACRAMENTO LAZARO ROSA ALBINA</t>
  </si>
  <si>
    <t>SAMANAMUD VALENTIN MIGUEL ANGEL MOISES</t>
  </si>
  <si>
    <t>TRUJILLO APONTE WAGNER ABRAHAM</t>
  </si>
  <si>
    <t>VILLANUEVA CAMAC GUILLERMO ARTURO</t>
  </si>
  <si>
    <t>GUERRERO CERVERA JULIA DEL PILAR</t>
  </si>
  <si>
    <t>ABANTO MERINO LUIS ALFREDO</t>
  </si>
  <si>
    <t>ADMINISTRACION Y FINANZAS</t>
  </si>
  <si>
    <t>GOMERO MANCESIDOR JOHNNY MITCHELL</t>
  </si>
  <si>
    <t>RECUAY SALAZAR CARLOS ALBERTO</t>
  </si>
  <si>
    <t>SALCEDO RODAS PERCY ISMAEL</t>
  </si>
  <si>
    <t>BUITRON LLACSA JOSE MANUEL</t>
  </si>
  <si>
    <t>MORALES CHAVEZ GISSEL JOCELINE</t>
  </si>
  <si>
    <t>ZUMAETA BERAMENDI JACQUELINE DIANA</t>
  </si>
  <si>
    <t>DIAZ VELASQUEZ JULIO CESAR</t>
  </si>
  <si>
    <t>ROMERO CARAZAS RAFAEL</t>
  </si>
  <si>
    <t>CALLAN BACILIO RICHARD</t>
  </si>
  <si>
    <t>MAS VILLANUEVA KENY ARNOLD</t>
  </si>
  <si>
    <t>CONTABILIDAD</t>
  </si>
  <si>
    <t>02885494</t>
  </si>
  <si>
    <t>QUIROGA PAIVA DAVID EDUARDO</t>
  </si>
  <si>
    <t>ZAFRA SALAS MARCO ANDRE</t>
  </si>
  <si>
    <t>MANRIQUE CERVANTES JOSE ANTONIO</t>
  </si>
  <si>
    <t>SALAZAR GAMBOA OSCAR FRITZ ALEXANDER</t>
  </si>
  <si>
    <t>CABEZA MOLINA LUIS FELIPE</t>
  </si>
  <si>
    <t>MUÑANTE SIHUES CESAR ARTURO</t>
  </si>
  <si>
    <t>PIZARRO OSORIO BETSABE LILIA</t>
  </si>
  <si>
    <t>ULLOQUE SAMATELO CARLOS AUGUSTO</t>
  </si>
  <si>
    <t>BAHAMONDES GARCIA SINOE GEOFREY</t>
  </si>
  <si>
    <t>INGENIERIA DE SISTEMAS - EEGG</t>
  </si>
  <si>
    <t>VELASQUEZ CHUNGA JOSE LUIS EDUARDO</t>
  </si>
  <si>
    <t>INGENIERIA CIVIL - EEGG</t>
  </si>
  <si>
    <t>APAZA CHINO GRIMALDO</t>
  </si>
  <si>
    <t>MARTINEZ ZULOAGA NORA TERESA</t>
  </si>
  <si>
    <t>SOTOMAYOR ALBITES GEORGE ANTONHY</t>
  </si>
  <si>
    <t>MARTINEZ QUISÑAY JULIO RODOLFO</t>
  </si>
  <si>
    <t>CHAVEZ CARRAZCO CECILIA MARCELINA</t>
  </si>
  <si>
    <t>INGENIERIA INDUSTRIAL - EEGG</t>
  </si>
  <si>
    <t>08689170</t>
  </si>
  <si>
    <t>ACERO CARDENAS ANA MARIA</t>
  </si>
  <si>
    <t>GUTIERREZ JIMENEZ CINDY FIORELLA</t>
  </si>
  <si>
    <t>OSCCO INJANTE JOSE LUIS</t>
  </si>
  <si>
    <t>CONTABILIDAD - EEGG</t>
  </si>
  <si>
    <t>HUAMANI CANALES ANALI MARIELLA</t>
  </si>
  <si>
    <t>06708096</t>
  </si>
  <si>
    <t>FRIAS LIAU HING MELVA</t>
  </si>
  <si>
    <t>PASACHE LAGOS SERGIO LUIS</t>
  </si>
  <si>
    <t>BEJARANO PEREZ JUDITH ROSSANA</t>
  </si>
  <si>
    <t>CONDORCHOA CAMACHO CARLOS JOHN</t>
  </si>
  <si>
    <t>JAYO HIGA JOSE JUAN</t>
  </si>
  <si>
    <t>INGENIERIA DE SISTEMAS</t>
  </si>
  <si>
    <t>VEGA ROSALES JORGE MARTIN</t>
  </si>
  <si>
    <t>GUARDIA PANIURA CANDY HAYDEE</t>
  </si>
  <si>
    <t>ORDINOLA BRENIS JUAN MANUEL</t>
  </si>
  <si>
    <t>SANCHEZ NAVARRETE CARLOS RICARDO</t>
  </si>
  <si>
    <t>PESANTES SALAVARRIA MARCO ALFONSO</t>
  </si>
  <si>
    <t>BERRIOS VEGA CARMEN LUZ</t>
  </si>
  <si>
    <t>CV</t>
  </si>
  <si>
    <t>CHUNG RODRIGUEZ JOSE MARTIN</t>
  </si>
  <si>
    <t>CONDE REYES JORGE LUIS</t>
  </si>
  <si>
    <t>JUSTIFICAR</t>
  </si>
  <si>
    <t>DURAN RIOS SANDRO ANIBAL</t>
  </si>
  <si>
    <t>FABIAN SOBERANIS MIGUEL ANGEL</t>
  </si>
  <si>
    <t>MIRANDA BAZALAR ROBERTO WILLIAM</t>
  </si>
  <si>
    <t>REA MORENO FLOR MAGALY</t>
  </si>
  <si>
    <t>CASTILLON SIGUAS LUIS ALFREDO</t>
  </si>
  <si>
    <t>CHANG HERNANDEZ GUILLERMO ANDRES</t>
  </si>
  <si>
    <t>FERREYROS YUCRA JAIR EMERSON</t>
  </si>
  <si>
    <t>GARAYAR TTITO ANA MELIZA</t>
  </si>
  <si>
    <t>HUANCAHUIRE BRAVO CLAUDIO ISAIAS</t>
  </si>
  <si>
    <t>CASTILLO ORMEÑO ENZO RENAN</t>
  </si>
  <si>
    <t>Datos para ser llenados por la OGTH</t>
  </si>
  <si>
    <t>Datos para ser llenados por Vicerrectorado y/o facultades</t>
  </si>
  <si>
    <t>INFORMACIÓN DE DOCENTES 2026-I PARA ASIGNACIÓN DE PAGOS</t>
  </si>
  <si>
    <t>DOCENTES UAI</t>
  </si>
  <si>
    <t>ALTA RANKMI</t>
  </si>
  <si>
    <t xml:space="preserve">ENRROLAR </t>
  </si>
  <si>
    <t>CONTRATO CREADO EN RANKMI</t>
  </si>
  <si>
    <t>CONTRATO ENVIADO</t>
  </si>
  <si>
    <t>CONTRATO FIRMADO</t>
  </si>
  <si>
    <t>ALTA SUNAT</t>
  </si>
  <si>
    <t>FOTOCHECK LISTO</t>
  </si>
  <si>
    <t>¿SE ENTREGÓ EL FOTOCHECK?</t>
  </si>
  <si>
    <t>¿SE CARGÓ DOCUMENTOS DE INGRESO?</t>
  </si>
  <si>
    <t>ENVIÓ SUS DOCUMENTOS DE INGRESO</t>
  </si>
  <si>
    <t>DOCENTE / JEFE DE PRÁCTICA</t>
  </si>
  <si>
    <t>NUMERO DE CELULAR</t>
  </si>
  <si>
    <t>CORREO PERSONAL</t>
  </si>
  <si>
    <t>CORREO INSTITUCIONAL</t>
  </si>
  <si>
    <t>HORAS 
2025-II</t>
  </si>
  <si>
    <t>HORAS
 2026-I</t>
  </si>
  <si>
    <t>DEDICACIÓN
2025-II</t>
  </si>
  <si>
    <t>DEDICACIÓN
2026-I</t>
  </si>
  <si>
    <t>MODALIDAD DE INGRESO</t>
  </si>
  <si>
    <t>CATEGORIA</t>
  </si>
  <si>
    <t>FECHA DE INGRESO</t>
  </si>
  <si>
    <t>RCU DE INGRESO
2026-I</t>
  </si>
  <si>
    <t>FECHA DE RCU DE INGRESO</t>
  </si>
  <si>
    <t>LOCAL 
2025-II</t>
  </si>
  <si>
    <t>LOCAL 
2026-I</t>
  </si>
  <si>
    <t>PROGRAMA ACADEMICO 2025-II</t>
  </si>
  <si>
    <t>GRADO ACADEMICO 2025-II</t>
  </si>
  <si>
    <t>PROGRAMA ACADEMICO 2026-I</t>
  </si>
  <si>
    <t>GRADO ACADEMICO 2026-I</t>
  </si>
  <si>
    <t>MODALIDAD 
2025-II</t>
  </si>
  <si>
    <t>MODALIDAD 
2026-I</t>
  </si>
  <si>
    <t>SUELDO BASICO</t>
  </si>
  <si>
    <t>ASIGNACION FAMILIAR / BONO POR CARGO</t>
  </si>
  <si>
    <t>PLUXEE</t>
  </si>
  <si>
    <t>TOTAL BRUTO MENSUAL</t>
  </si>
  <si>
    <t>VALOR DE HORA</t>
  </si>
  <si>
    <t>SEMANA</t>
  </si>
  <si>
    <t>TOTAL MENSUAL</t>
  </si>
  <si>
    <t>AF / BONO POR INVESTIGACION</t>
  </si>
  <si>
    <t>OBSERVACIONES OGTH</t>
  </si>
  <si>
    <t>DOCENTE</t>
  </si>
  <si>
    <t xml:space="preserve">berriosvegacarmenluz7@gmail.com </t>
  </si>
  <si>
    <t>TP</t>
  </si>
  <si>
    <t>INVITACION</t>
  </si>
  <si>
    <t>CONTRATADO</t>
  </si>
  <si>
    <t>MAESTRIA</t>
  </si>
  <si>
    <t>chungjose675@gmail.com</t>
  </si>
  <si>
    <t>jorgecondereyes@gmail.com</t>
  </si>
  <si>
    <t>jakimeli@outlook.com</t>
  </si>
  <si>
    <t>TC</t>
  </si>
  <si>
    <t>RENOVACION</t>
  </si>
  <si>
    <t>PSICOLOGIA - EEGG</t>
  </si>
  <si>
    <t>durisandroanibal@gmail.com</t>
  </si>
  <si>
    <t>emc1291@gmail.com</t>
  </si>
  <si>
    <t>CONCURSO</t>
  </si>
  <si>
    <t>RCU 097-2026</t>
  </si>
  <si>
    <t>fraancisco.evngelista1@gmail.com</t>
  </si>
  <si>
    <t>fabiancip304301@gmail.com</t>
  </si>
  <si>
    <t>johnstevensgavino1101@gmail.com</t>
  </si>
  <si>
    <t>luis.lino@cip.org.pe</t>
  </si>
  <si>
    <t>DOCTOR</t>
  </si>
  <si>
    <t>damarismandamiento44@gmail.com</t>
  </si>
  <si>
    <t>ENFERMERIA - EEGG</t>
  </si>
  <si>
    <t>mendozacastillojuanjose@gmail.com</t>
  </si>
  <si>
    <t>mirandabazalar19@gmail.com</t>
  </si>
  <si>
    <t>ppadilla1580@gmail.com</t>
  </si>
  <si>
    <t>geraldinaparihuaman@gmail.com</t>
  </si>
  <si>
    <t>rperezr30@gmail.com</t>
  </si>
  <si>
    <t>hay1sociologa@gmail.com</t>
  </si>
  <si>
    <t>luisferquinic@gmail.com</t>
  </si>
  <si>
    <t>flormagaly021179@gmail.com</t>
  </si>
  <si>
    <t>mrequena@unjfsc.edu.pe</t>
  </si>
  <si>
    <t>econ.carlosrr@gmail.com</t>
  </si>
  <si>
    <t>cesarxavy14@gmail.com</t>
  </si>
  <si>
    <t>rodrisag18@gmail.com</t>
  </si>
  <si>
    <t>titorojas189@gmail.com</t>
  </si>
  <si>
    <t>rosa.sacramento1612@gmail.com</t>
  </si>
  <si>
    <t>miguel.samanamud.efcn@gmail.com</t>
  </si>
  <si>
    <t>folkennick34@gmail.com</t>
  </si>
  <si>
    <t>wagnertrujillo7@hotmail.com</t>
  </si>
  <si>
    <t>guille.villa.vc12@gmail.com</t>
  </si>
  <si>
    <t>j1511guerrero@gmial.com</t>
  </si>
  <si>
    <t>alfredo.abantomerino@gmail.com</t>
  </si>
  <si>
    <t>RCU 116-2026</t>
  </si>
  <si>
    <t>jgomero@unab.ed.pe</t>
  </si>
  <si>
    <t>carlos.recuay@gmail.com</t>
  </si>
  <si>
    <t>percysr219@gmail.com</t>
  </si>
  <si>
    <t>josemabuitron@gmail.com</t>
  </si>
  <si>
    <t>moraleschavezgissel@gmail.com</t>
  </si>
  <si>
    <t xml:space="preserve">jzumaeta01@gmail.com </t>
  </si>
  <si>
    <t>cvjuliodiaz@gmail.com</t>
  </si>
  <si>
    <t>rafaelromerocarazas@gmail.com</t>
  </si>
  <si>
    <t>richardcallanbacilio@gmail.com</t>
  </si>
  <si>
    <t>vilmaskear@outlook.com</t>
  </si>
  <si>
    <t>dequiroga09@gmail.com</t>
  </si>
  <si>
    <t>marco.zafra@gmail.com</t>
  </si>
  <si>
    <t>joseantoniolaw@gmail.com</t>
  </si>
  <si>
    <t>osg@estudio-salazar.com</t>
  </si>
  <si>
    <t>luisfelipe0007@hotmail.com</t>
  </si>
  <si>
    <t>cesararturo2112@gmail.com</t>
  </si>
  <si>
    <t>abogada.betsabe.pizarro@gmail.com</t>
  </si>
  <si>
    <t>carlosulloque88@gmail.com</t>
  </si>
  <si>
    <t>sinoebg@gmail.com</t>
  </si>
  <si>
    <t>eduardo_velasquez_12@hotmail.com</t>
  </si>
  <si>
    <t>grim866@gmail.com</t>
  </si>
  <si>
    <t>noramz2025@gmail.com</t>
  </si>
  <si>
    <t>sotomayorgeo@gmail.com</t>
  </si>
  <si>
    <t>juromar@gmail.com</t>
  </si>
  <si>
    <t>cecimarzz28@gmail.com</t>
  </si>
  <si>
    <t>acero.am@pucp.edu.pe</t>
  </si>
  <si>
    <t>c.f.g.jimenez@gmail.com</t>
  </si>
  <si>
    <t>joseluisoscco_injante@hotmail.com</t>
  </si>
  <si>
    <t>anali_2486@hotmail.com</t>
  </si>
  <si>
    <t>melvalejandra@hotmail.com</t>
  </si>
  <si>
    <t>sergiopasache@gmail.com</t>
  </si>
  <si>
    <t>judithfiq2809@gmail.com</t>
  </si>
  <si>
    <t>jcarlos2504@hotmail.com</t>
  </si>
  <si>
    <t>jose.jayo89@gmail.com</t>
  </si>
  <si>
    <t>jorgemartinvegar@gmail.com</t>
  </si>
  <si>
    <t>candy-guardia@hotmail.com</t>
  </si>
  <si>
    <t>jmordinola@outlook.es</t>
  </si>
  <si>
    <t>ricardosnxz@gmail.com</t>
  </si>
  <si>
    <t>marcopesantes131@gmail.com</t>
  </si>
  <si>
    <t>ALMEYDA CARBAJAL JOSE ARMANDO</t>
  </si>
  <si>
    <t>jose.almeyda@autonomadeica.edu.pe</t>
  </si>
  <si>
    <t>ALMEYDA MAGALLANES JESUS NEMESIO</t>
  </si>
  <si>
    <t>jesus.almeyda@autonomadeica.edu.pe</t>
  </si>
  <si>
    <t>ALMEYDA MORENO JOSE JOSE</t>
  </si>
  <si>
    <t>jose.moreno@autonomadeica.edu.pe</t>
  </si>
  <si>
    <t>ARQUITECTURA - EEGG</t>
  </si>
  <si>
    <t>AMORETTI ARTEAGA ALEJANDRA GUADALUPE</t>
  </si>
  <si>
    <t>guadalupe.amoretti@gmail.com</t>
  </si>
  <si>
    <t>alejandra.amoretti@autonomadeica.edu.pe</t>
  </si>
  <si>
    <t>ANAMPA ZAMORA SILVIA MARILU</t>
  </si>
  <si>
    <t>silvia.anampa@autonomadeica.edu.pe</t>
  </si>
  <si>
    <t>ANDRADE GONZALES VICTOR MANUEL</t>
  </si>
  <si>
    <t>ANICAMA NAVARRETE EVELYN ALINA</t>
  </si>
  <si>
    <t>evelyn.anicama@autonomadeica.edu.pe</t>
  </si>
  <si>
    <t>ANICAMA QUISIVERDE GERALDINE ISABEL</t>
  </si>
  <si>
    <t>geraldine.anicama@autonomadeica.edu.pe</t>
  </si>
  <si>
    <t>ARIAS LOPEZ SILVIA LUISA</t>
  </si>
  <si>
    <t>silvia.arias@autonomadeica.edu.pe</t>
  </si>
  <si>
    <t>AYLLON CARDENAS MARIELA LISSETH</t>
  </si>
  <si>
    <t>maylloncr@gmail.com</t>
  </si>
  <si>
    <t>mariela.ayllon@autonomadeica.edu.pe</t>
  </si>
  <si>
    <t>BALBUENA CARRASCO LUIS ANTONIO</t>
  </si>
  <si>
    <t>luis.balbuena@autonomadeica.edu.pe</t>
  </si>
  <si>
    <t>BARRERA SIGUAS EDGAR DANIEL</t>
  </si>
  <si>
    <t>BARTRA BAUTISTA MADELEINE KARIN</t>
  </si>
  <si>
    <t>BECERRA GUTIERREZ ETHEEL ROMILA</t>
  </si>
  <si>
    <t>07253926</t>
  </si>
  <si>
    <t>BENAVIDES MIKKELSEN JORGE LUIS</t>
  </si>
  <si>
    <t>08222581</t>
  </si>
  <si>
    <t>jorge.benavides@autonomadeica.edu.pe</t>
  </si>
  <si>
    <t>BENDEZU HERNANDEZ JAVIER ORLANDO</t>
  </si>
  <si>
    <t>BRAVO SENDER RAUL ANTONIO</t>
  </si>
  <si>
    <t> 43133448</t>
  </si>
  <si>
    <t>BUENDIA APARCANA ROBERTO REYMUNDO</t>
  </si>
  <si>
    <t>rrbuendia@hotmail.com</t>
  </si>
  <si>
    <t>roberto.buendia@autonomadeica.edu.pe</t>
  </si>
  <si>
    <t>BUSTAMANTE MATEO MARIA YSABEL</t>
  </si>
  <si>
    <t>maria.bustamante@autonomadeica.edu.pe</t>
  </si>
  <si>
    <t>CABRERA HUAMAN GISELLA ROSA</t>
  </si>
  <si>
    <t>CABRERA ZEGOVIA YESSICA JEANETH</t>
  </si>
  <si>
    <t>CACHO RIOS LUIS ANTONIO</t>
  </si>
  <si>
    <t>CAHUANA CASIANO BRIGNER MARK</t>
  </si>
  <si>
    <t>brigner.cahuana@autonomadeica.edu.pe</t>
  </si>
  <si>
    <t>CAMONES MAGO LUIS ALBERTO</t>
  </si>
  <si>
    <t>luis.camones@autonomadeica.edu.pe</t>
  </si>
  <si>
    <t>CANALES SOTOMAYOR JOANNA DIAHANN</t>
  </si>
  <si>
    <t>johanncaso@gmail.com</t>
  </si>
  <si>
    <t>joanna.canales@autonomadeica.edu.pe</t>
  </si>
  <si>
    <t>CAPCHA JURADO EDER AROON</t>
  </si>
  <si>
    <t>CASTAÑEDA RIVEROS JOSEFA ELIZABETH</t>
  </si>
  <si>
    <t>CASTILLO SALAZAR REGNER NICOLAS</t>
  </si>
  <si>
    <t xml:space="preserve">regnercastillo2@gmail.com </t>
  </si>
  <si>
    <t>regner.castillo@autonomadeica.edu.pe</t>
  </si>
  <si>
    <t>CASTILLO SANCHEZ CLAUDIA LORENA</t>
  </si>
  <si>
    <t>CASTILLON MATOS OVIDIO JULIAN</t>
  </si>
  <si>
    <t>ovi_jcm@hotmail.com</t>
  </si>
  <si>
    <t>ovidio.castillon@autonomadeica.edu.pe</t>
  </si>
  <si>
    <t>TITULO PROFESIONAL</t>
  </si>
  <si>
    <t>CASTRO MEJIA PERCY JUNIOR</t>
  </si>
  <si>
    <t>percy.castro@autonomadeica.edu.pe</t>
  </si>
  <si>
    <t>CAVERO TANG MARIA ISABEL</t>
  </si>
  <si>
    <t>icaverot@hotmail.com</t>
  </si>
  <si>
    <t>isabel.cavero@autonomadeica.edu.pe</t>
  </si>
  <si>
    <t>CHANAVA CONTRERAS JOB HERMES</t>
  </si>
  <si>
    <t>job.chanava@autonomadeica.edu.pe</t>
  </si>
  <si>
    <t>CONDE CERVANTES GERARDO OMAR</t>
  </si>
  <si>
    <t>CORDOVA OSORIO ROLANDO ROTMAN FRIEDERICH</t>
  </si>
  <si>
    <t>CORDOVA RAMIREZ DORIS IVONNE</t>
  </si>
  <si>
    <t>CRUZ CHUNGA CARLOS BIENVENIDO</t>
  </si>
  <si>
    <t>carlos.cruz@autonomadeica.edu.pe</t>
  </si>
  <si>
    <t>CUBAS CORDOVA NILS</t>
  </si>
  <si>
    <t>nils-cubas@autonomadeica.edu.pe</t>
  </si>
  <si>
    <t>CUSTODIO LOYOLA CRISTIAN MAX</t>
  </si>
  <si>
    <t>cristian.custodio@autonomadeica.edu.pe</t>
  </si>
  <si>
    <t>DE LA CRUZ MARTINEZ GABRIELA NATALIA</t>
  </si>
  <si>
    <t>DIAZ RODRIGUEZ BREITNER GUILLERMO</t>
  </si>
  <si>
    <t>breitner.diaz@autonomadeica.edu.pe</t>
  </si>
  <si>
    <t>DONAYRE VEGA JULIO ARMANDO</t>
  </si>
  <si>
    <t>ESPINOZA LEON GUSTAVO FELIPE</t>
  </si>
  <si>
    <t>ESPINOZA SEGURA JAMES WILLIAMS</t>
  </si>
  <si>
    <t>09857971</t>
  </si>
  <si>
    <t>james.espinoza@autonomadeica.edu.pe</t>
  </si>
  <si>
    <t>ESTEBAN MUNAYCO CARLOS ALBERTO</t>
  </si>
  <si>
    <t>FARFAN CARRIANO CARLOS MARTIN</t>
  </si>
  <si>
    <t>OBSERVADO</t>
  </si>
  <si>
    <t>FELIX BENAVENTE ERICK NIXON</t>
  </si>
  <si>
    <t>FERREYRA RUIZ PATRICIA DEL CARMEN</t>
  </si>
  <si>
    <t>pferreyrar@gmail.com</t>
  </si>
  <si>
    <t>patricia.ferreyra@autonomadeica.edu.pe</t>
  </si>
  <si>
    <t>02442123</t>
  </si>
  <si>
    <t>FLORES ARRIOLA ADRIANA LORENA</t>
  </si>
  <si>
    <t>FLORES MENENDEZ LUIS ENRIQUE</t>
  </si>
  <si>
    <t>luis.flores@autonomadeica.edu.pe</t>
  </si>
  <si>
    <t>FLORES MINCHON CARLOS ALBERTO</t>
  </si>
  <si>
    <t>GAGO CHAVEZ JOHANNA DE JESUS STEPHANIE</t>
  </si>
  <si>
    <t>gago.johanna@gmail.com</t>
  </si>
  <si>
    <t>johanna.gago@autonomadeica.edu.pe</t>
  </si>
  <si>
    <t>GALLARDO REYES ALEXANDER DARIO</t>
  </si>
  <si>
    <t>alexander.gallardo@autonomadeica.edu.pe</t>
  </si>
  <si>
    <t>GAMARRA NORIEGA WILLIAN VLADIMIR</t>
  </si>
  <si>
    <t xml:space="preserve">927700752
</t>
  </si>
  <si>
    <t>william.gamarra@autonomadeica.edu.pe</t>
  </si>
  <si>
    <t>GAMARRA RAMIREZ HELEN CAROL</t>
  </si>
  <si>
    <t>08681131</t>
  </si>
  <si>
    <t>helen.gamarra@autonomadeica.edu.pe</t>
  </si>
  <si>
    <t>GARCIA AQUIJE PEDRO CARLOS</t>
  </si>
  <si>
    <t>GARCIA DONAYRE JOEIS MIGUEL</t>
  </si>
  <si>
    <t>GARCIA PISCONTE GINO GUSTAVO</t>
  </si>
  <si>
    <t>GARCIA PISCONTE SILVIA KARINA</t>
  </si>
  <si>
    <t>GAVILAN ORE ADOLFO GUILLERMO</t>
  </si>
  <si>
    <t>GIRALDO MENDOZA DANTE MARTIN</t>
  </si>
  <si>
    <t>GONZALES FLORES ANA KRISTEL</t>
  </si>
  <si>
    <t>GONZALES MOSQUERA WUILIAN</t>
  </si>
  <si>
    <t>wuilian.gonzales@autonomadeica.edu.pe</t>
  </si>
  <si>
    <t>GUERRERO MILLONES ANA MARIA</t>
  </si>
  <si>
    <t>ana.guerrero@autonomadeica.edu.pe</t>
  </si>
  <si>
    <t>GUERRERO ZELA GUSTAVO ADOLFO</t>
  </si>
  <si>
    <t>HAYASHI AMORETTI YADHIRA SALOME</t>
  </si>
  <si>
    <t>yadhirahayashi@gmail.com</t>
  </si>
  <si>
    <t>yadhira.hayashi@autonomadeica.edu.pe</t>
  </si>
  <si>
    <t>HERNANDEZ DIAZ STEFANI MADELHEYN MARGARITA</t>
  </si>
  <si>
    <t>patricia.hernandez@hotmail.es</t>
  </si>
  <si>
    <t>HERNANDEZ PEVES JUAN GUSTAVO</t>
  </si>
  <si>
    <t>HERRERA MAGUIÑA DANNY EDUARDO</t>
  </si>
  <si>
    <t>HUALLANCA CARBAJAL JOSE JONATHAN</t>
  </si>
  <si>
    <t>jose.huallanca@autonomadeica.edu.pe</t>
  </si>
  <si>
    <t>HUALLANCA CONTRERAS MARIO CESAR</t>
  </si>
  <si>
    <t>mariocesar2050@gmail.com</t>
  </si>
  <si>
    <t>mario.huallanca@autonomadeica.edu.pe</t>
  </si>
  <si>
    <t>HUAMAN ESPINO ZORAIDA FELIPA</t>
  </si>
  <si>
    <t>HUAMAN FLORES ELIO JAVIER</t>
  </si>
  <si>
    <t> 952521882</t>
  </si>
  <si>
    <t>huamanfloreselio@gmail.com</t>
  </si>
  <si>
    <t>elio.huaman@autonomadeica.edu.pe</t>
  </si>
  <si>
    <t>HUAMANI SALAZAR CESAR JOEL</t>
  </si>
  <si>
    <t>cesar.huamani@autonomadeica.edu.pe</t>
  </si>
  <si>
    <t>HUAROTO HUACHIN AMALIA ESPERANZA</t>
  </si>
  <si>
    <t>HUASASQUICHE ABREGU MIGUEL ANGEL</t>
  </si>
  <si>
    <t>miguel.huasasquiche@autonomadeica.edu.pe</t>
  </si>
  <si>
    <t>HUAYTA CONISLLA WALTER OSWALDO</t>
  </si>
  <si>
    <t>walter.huayta@autonomadeica.edu.pe</t>
  </si>
  <si>
    <t>INJANTE LIMA EMILIO DOMINGO</t>
  </si>
  <si>
    <t>emilio.injante@autonomadeica.edu.pe</t>
  </si>
  <si>
    <t>JORDAN PALOMINO JERRI ARTURO</t>
  </si>
  <si>
    <t>JUAREZ CAQUIAMARCA LUIS MIGUEL</t>
  </si>
  <si>
    <t>LANDEO LOPEZ CESAR CAMILO</t>
  </si>
  <si>
    <t>LANDEO LOPEZ JEFFERSON OMAR</t>
  </si>
  <si>
    <t>LEVANO MESIAS ADRIAN PASCUAL</t>
  </si>
  <si>
    <t>LEVANO SARAVIA EMILY BRISEIDA</t>
  </si>
  <si>
    <t>LLANCARES SUXE JORGE ARMANDO</t>
  </si>
  <si>
    <t>LLANCARES SUXE MINERVA MELCHORITA</t>
  </si>
  <si>
    <t>LOO PARIAN LUIS ALBERTO</t>
  </si>
  <si>
    <t>luis.loo@autonomadeica.edu.pe</t>
  </si>
  <si>
    <t>LOPEZ CHAVEZ GRACIELA YADIRA</t>
  </si>
  <si>
    <t>graciela.lopez@autonomadeica.edu.pe</t>
  </si>
  <si>
    <t>LUNA VICTORIA GOMEZ JUAN ANGHIELLO</t>
  </si>
  <si>
    <t>juan.lunavictoria@autonomadeica.edu.pe</t>
  </si>
  <si>
    <t>LUYO LOLI TAYMA NAIROBIS</t>
  </si>
  <si>
    <t>MALASPINA CHUQUE JAVIER JESUS</t>
  </si>
  <si>
    <t>jmalaspinac@gmail.com</t>
  </si>
  <si>
    <t>javier.malaspina@autonomadeica.edu.pe</t>
  </si>
  <si>
    <t>MARCELO GUTIERREZ RUTH KATHERINE</t>
  </si>
  <si>
    <t>marcelogutierrezk@gmail.com</t>
  </si>
  <si>
    <t>ruth.marcelo@autonomadeica.edu.pe</t>
  </si>
  <si>
    <t>MARQUEZ JIMENEZ NARDA CRISTINA</t>
  </si>
  <si>
    <t>nardacmj@gmail.com</t>
  </si>
  <si>
    <t>narda.marquez@autonomadeica.edu.pe</t>
  </si>
  <si>
    <t>MARTINEZ YATACO JESSICA JULISSA</t>
  </si>
  <si>
    <t>MATTA FERREYRA FRANCIS GISELA</t>
  </si>
  <si>
    <t>MAURTUA FERREYRA MANUEL SANTIAGO</t>
  </si>
  <si>
    <t>MEDINA ACASIETE JOSE LUIS</t>
  </si>
  <si>
    <t>jose.medina@autonomadeica.edu.pe</t>
  </si>
  <si>
    <t>MENDO MONTALVO VICTOR ENRIQUE</t>
  </si>
  <si>
    <t>victor.mendo@autonomadeica.edu.pe</t>
  </si>
  <si>
    <t>MENESES VASQUEZ KARINA OLENKA</t>
  </si>
  <si>
    <t>MESIAS MEJIA EDGAR YVAN</t>
  </si>
  <si>
    <t>MESIAS REYES JORGE LUIS</t>
  </si>
  <si>
    <t>MISSA FRANCO ALEX RADOMIR</t>
  </si>
  <si>
    <t>MORÁN CAMACHO SIRENA STEFANI</t>
  </si>
  <si>
    <t>MORENO HEREDIA ARMANDO JOSE</t>
  </si>
  <si>
    <t>armando.moreno@autonomadeica.edu.pe</t>
  </si>
  <si>
    <t>MORON AGUILAR KEVIN CHRISTIAN</t>
  </si>
  <si>
    <t>MUNAYCO VIVANCO JUAN CALIXTO</t>
  </si>
  <si>
    <t>MUÑANTE CAHUA NIDIA PATRICIA</t>
  </si>
  <si>
    <t>MUÑOZ ALVA FIORELLA DEL PILAR</t>
  </si>
  <si>
    <t>MUÑOZ FELIX ALAN PIER</t>
  </si>
  <si>
    <t>NAVARRETE VELARDE RAUL ANTONIO</t>
  </si>
  <si>
    <t>raul.navarrete@autonomadeica.edu.pe</t>
  </si>
  <si>
    <t>NAVARRETE VELARDE VICKY MARLENE</t>
  </si>
  <si>
    <t>NUÑEZ ROMAN HUGO</t>
  </si>
  <si>
    <t>hugo.nunez@autonomadeica.edu.pe</t>
  </si>
  <si>
    <t>ORDOÑEZ CENTENO CARLOS YTALO</t>
  </si>
  <si>
    <t xml:space="preserve">974590207
</t>
  </si>
  <si>
    <t>carlos.ordonez@autonomadeica.edu.pe</t>
  </si>
  <si>
    <t>ORTIZ ALMEYDA JOSE LUIS</t>
  </si>
  <si>
    <t>ORTIZ ANDRES JULIO ALEX</t>
  </si>
  <si>
    <t>ORTIZ CASTILLA LUIS ENRIQUE</t>
  </si>
  <si>
    <t>luis.ortiz@autonomadeica.edu.pe</t>
  </si>
  <si>
    <t>PACHAS BARRIENTOS LUZ MILAGROS</t>
  </si>
  <si>
    <t>luz.pachas@autonomadeica.edu.pe</t>
  </si>
  <si>
    <t>PALACIOS CABEL MARTIN EDUARDO</t>
  </si>
  <si>
    <t>martin.palacios@autonomadeica.edu.pe</t>
  </si>
  <si>
    <t>PALOMINO ZARATE JOSE LUIS</t>
  </si>
  <si>
    <t>pepejlpz123@gmail.com</t>
  </si>
  <si>
    <t>jose.palomino@autonomadeica.edu.pe</t>
  </si>
  <si>
    <t>PAREDES MENDOZA JUAN MIGUEL</t>
  </si>
  <si>
    <t>PEÑA ALARCON LUIS ALEJANDRO</t>
  </si>
  <si>
    <t>luis.peña@autonomadeica.edu.pe</t>
  </si>
  <si>
    <t>PEÑA RONCEROS JOSE IVAN</t>
  </si>
  <si>
    <t>PEREZ CABREJOS RUTH GISSELA</t>
  </si>
  <si>
    <t>gissela.perez@autonomadeica.edu.pe</t>
  </si>
  <si>
    <t>PINEDA URBANO JORGE LUIS</t>
  </si>
  <si>
    <t>PISCOCHE CHINCHAY RICHERSON HAROLD</t>
  </si>
  <si>
    <t>richerson.piscoche@autonomadeica.edu.pe</t>
  </si>
  <si>
    <t>POZO GUTIERREZ ANGEL ALBERTO</t>
  </si>
  <si>
    <t>angel.pozo@autonomadeica.edu.pe</t>
  </si>
  <si>
    <t>POZO GUTIERREZ ROBERTO CARLOS</t>
  </si>
  <si>
    <t>roberto.pozo@autonomadeica.edu.pe</t>
  </si>
  <si>
    <t>PUPPI UGAZ LUIS MIGUEL</t>
  </si>
  <si>
    <t>PURIZACA GUERRERO JULIO EDUARDO</t>
  </si>
  <si>
    <t>julio.purizaca@autonomadeica.edu.pe</t>
  </si>
  <si>
    <t>QUIROZ SÁNCHEZ LUPE VIRGINIA</t>
  </si>
  <si>
    <t>luquirozsanchez@gmail.com</t>
  </si>
  <si>
    <t>lupe.quiroz@autonomadeica.edu.pe</t>
  </si>
  <si>
    <t>QUISPE ALMEIDA JOSE DAMIAN</t>
  </si>
  <si>
    <t>jose.quispe@autonomadeica.edu.pe</t>
  </si>
  <si>
    <t>QUISPE FARFAN DANTE IQUE</t>
  </si>
  <si>
    <t>QUISPE TINCOPA LINO MARTIN</t>
  </si>
  <si>
    <t>RAMIREZ YAÑEZ MAURO ALBERTO</t>
  </si>
  <si>
    <t>mauro.ry94@gmail.com</t>
  </si>
  <si>
    <t>mauro.ramirez@autonomadeica.edu.pe</t>
  </si>
  <si>
    <t>RAMOS FERNANDEZ MIRTHA ISABEL</t>
  </si>
  <si>
    <t>REATEGUI GUERRA DARWIN</t>
  </si>
  <si>
    <t>REYES CAMASCA ROSARIO CRISTINA</t>
  </si>
  <si>
    <t>REYES MARTINEZ MARIO GUSTAVO</t>
  </si>
  <si>
    <t>greyes7936@gmail.com</t>
  </si>
  <si>
    <t>mario.reyes@autonomadeica.edu.pe</t>
  </si>
  <si>
    <t>RODRIGUEZ CRUZ BRYAN SIMON</t>
  </si>
  <si>
    <t>rc.bryan.simon@gmail.com</t>
  </si>
  <si>
    <t>bryan.rodriguez@autonomadeica.edu.pe</t>
  </si>
  <si>
    <t>ROJAS GUTIERREZ WILLIAM JESUS</t>
  </si>
  <si>
    <t>ROMAN VERONA PATRICIA DEL PILAR</t>
  </si>
  <si>
    <t>RUIZ MAGALLANES GUADALUPE STEFANIA</t>
  </si>
  <si>
    <t>SACHUN BECERRA PERCY ALEXANDER</t>
  </si>
  <si>
    <t>SACHUN NUÑEZ FREDDY JHONNY</t>
  </si>
  <si>
    <t>fjsachun@gmail.com</t>
  </si>
  <si>
    <t>freddy.sachun@autonomadeica.edu.pe</t>
  </si>
  <si>
    <t>SALINAS PEREZ HECTOR CLEMENTE</t>
  </si>
  <si>
    <t>SANCHEZ TORRES WILLIAM JUNIOR</t>
  </si>
  <si>
    <t>SANJUAN GARCIA VERONICA</t>
  </si>
  <si>
    <t>SANTIAGO CHOQUE FLOR DE MARIA</t>
  </si>
  <si>
    <t> 993017825</t>
  </si>
  <si>
    <t>flordemaria31.c@gmail.com</t>
  </si>
  <si>
    <t>flor.santiago@autonomadeica.edu.pe</t>
  </si>
  <si>
    <t>SARAVIA VILCHEZ VICTOR JOE</t>
  </si>
  <si>
    <t>victor.saravia@autonomadeica.edu.pe</t>
  </si>
  <si>
    <t>SARAVIA YATACO NELLY PATRICIA</t>
  </si>
  <si>
    <t>SEBASTIAN MOSCAIZA CESAR RAUL</t>
  </si>
  <si>
    <t>SIGUAS FLORES CARLOS JAVIER</t>
  </si>
  <si>
    <t>SIGUAS HUARHUA GUILLERMO GREGORIO</t>
  </si>
  <si>
    <t>SILVA HUAMANTUMBA KAROL</t>
  </si>
  <si>
    <t> 42876121</t>
  </si>
  <si>
    <t>SOTELO RAZZETO LUIS FELIPE</t>
  </si>
  <si>
    <t>SOTO CAYHUALLA MARIO YANCARLOS</t>
  </si>
  <si>
    <t>SUAREZ ESCRIBA MARIELLA ROSARIO</t>
  </si>
  <si>
    <t>TACO COAYLA RENZO ALBERTO</t>
  </si>
  <si>
    <t>renzo.taco@autonomadeica.edu.pe</t>
  </si>
  <si>
    <t>TAFUR HUAMAN ERLITH</t>
  </si>
  <si>
    <t> 932680194</t>
  </si>
  <si>
    <t>trabajoeth12@gmail.com</t>
  </si>
  <si>
    <t>erlith.tafur@autonomadeica.edu.pe</t>
  </si>
  <si>
    <t>TARAZONA VEGA ESHEK</t>
  </si>
  <si>
    <t>TASAYCO MARTINEZ RENZO LEONARDO</t>
  </si>
  <si>
    <t>corpfcont@gmail.com</t>
  </si>
  <si>
    <t>leonardo.martinez@autonomadeica.edu.pe</t>
  </si>
  <si>
    <t>TASAYCO RODRIGUEZ JOSE LUIS</t>
  </si>
  <si>
    <t>jotaro417@hotmail.com</t>
  </si>
  <si>
    <t>jose.tasaycor@autonomadeica.edu.pe</t>
  </si>
  <si>
    <t>TAYA YACTAYO PEDRO ALEX</t>
  </si>
  <si>
    <t>pedro.taya@autonomadeica.edu.pe</t>
  </si>
  <si>
    <t>TEJEDA LEON CARLOS ALBERTO</t>
  </si>
  <si>
    <t>TEMOCHE ALMORA LUIS GERMAN</t>
  </si>
  <si>
    <t>TORALVA GONZALES PAUL EDWARDO</t>
  </si>
  <si>
    <t>edwardo.toralva@autonomadeica.edu.pe</t>
  </si>
  <si>
    <t>TRELLES CHANG WENDY ELIZABETH</t>
  </si>
  <si>
    <t>wendy.trelles@autonomadeica.edu.pe</t>
  </si>
  <si>
    <t>VALDIVIA SALAZAR CARLOS ALBERTO</t>
  </si>
  <si>
    <t>VALLE FUENTES JOSE ANDRES</t>
  </si>
  <si>
    <t>jose.valle@autonomadeica.edu.pe</t>
  </si>
  <si>
    <t>VARGAS DEL RIO MIGUEL ANGEL</t>
  </si>
  <si>
    <t> 953294798</t>
  </si>
  <si>
    <t>mivario@hotmail.com</t>
  </si>
  <si>
    <t>miguel.vargas@autonomadeica.edu.pe</t>
  </si>
  <si>
    <t>VASQUEZ GALVEZ DAYANA CRISTY</t>
  </si>
  <si>
    <t>dayana.vasquez@autonomadeica.edu.pe</t>
  </si>
  <si>
    <t>VASQUEZ RAMOS SOLANGE JULISSA</t>
  </si>
  <si>
    <t>VEGA BENAVIDES CESAR AUGUSTO</t>
  </si>
  <si>
    <t>VEGA PAVIA CAROLINA NIEVES</t>
  </si>
  <si>
    <t>VELAZCO LOPEZ ANGELA BETSY</t>
  </si>
  <si>
    <t>VICUÑA VILCA LUIS MIGUEL</t>
  </si>
  <si>
    <t>lvicunavilca@gmail.com</t>
  </si>
  <si>
    <t>luis.vicuna@autonomadeica.edu.pe</t>
  </si>
  <si>
    <t>VIZCARRA MEDINA DAVID SAMUEL</t>
  </si>
  <si>
    <t>WINCHO CHILQUILLO VICTOR MANUEL</t>
  </si>
  <si>
    <t>WU MATTA JULIO</t>
  </si>
  <si>
    <t>julio.wu@autonomadeica.edu.pe</t>
  </si>
  <si>
    <t>YATACO VALDEZ PALMER EDWIN</t>
  </si>
  <si>
    <t>TOTAL</t>
  </si>
  <si>
    <t>%</t>
  </si>
  <si>
    <t>%TC</t>
  </si>
  <si>
    <t>%TP</t>
  </si>
  <si>
    <t>ARQUITECTURA</t>
  </si>
  <si>
    <t>CONSOLIDADO</t>
  </si>
  <si>
    <t>PROPUESTA DE RENOVACIÓN ANTICIPADA DE DOCENTES DE TIEMPO COMPLETO PARA SEMESTRE ACADÉMICO 2026-1</t>
  </si>
  <si>
    <t>FECHAS, HORARIOS Y ACTIVIDADES ADMINISTRATIVAS HASTA EL XXXXXXX</t>
  </si>
  <si>
    <t>FECHAS
(23 al 27 de Marzo)</t>
  </si>
  <si>
    <t>DÍAS Y HORARIOS (48 horas/semana)</t>
  </si>
  <si>
    <t>ACTIVIDADES ESPECÍFICAS A DESARROLLAR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</si>
</sst>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\ #,##0.00"/>
  </numFmts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  <scheme val="minor"/>
    </font>
    <font>
      <b/>
      <sz val="14"/>
      <name val="Aptos Narrow"/>
      <family val="2"/>
    </font>
    <font>
      <b/>
      <i/>
      <sz val="14"/>
      <color rgb="FF002060"/>
      <name val="Aptos Narrow"/>
      <family val="2"/>
    </font>
    <font>
      <sz val="9"/>
      <color theme="1"/>
      <name val="Aptos Narrow"/>
      <family val="2"/>
    </font>
    <font>
      <b/>
      <sz val="9"/>
      <color rgb="FF000000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u/>
      <sz val="9"/>
      <color theme="10"/>
      <name val="Aptos Narrow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FF0000"/>
      <name val="Aptos Narrow"/>
      <family val="2"/>
    </font>
    <font>
      <sz val="8"/>
      <color rgb="FF000000"/>
      <name val="Aptos Narrow"/>
      <family val="2"/>
    </font>
    <font>
      <sz val="9"/>
      <color rgb="FF000000"/>
      <name val="Aptos Narrow"/>
    </font>
    <font>
      <b/>
      <sz val="9"/>
      <color rgb="FFFF000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6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3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1" fillId="12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vertical="center"/>
    </xf>
    <xf numFmtId="0" fontId="17" fillId="14" borderId="2" xfId="2" applyFill="1" applyBorder="1" applyAlignment="1">
      <alignment horizontal="left" vertical="center"/>
    </xf>
    <xf numFmtId="3" fontId="8" fillId="14" borderId="2" xfId="0" applyNumberFormat="1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164" fontId="8" fillId="14" borderId="3" xfId="0" applyNumberFormat="1" applyFont="1" applyFill="1" applyBorder="1" applyAlignment="1">
      <alignment horizontal="center" vertical="center"/>
    </xf>
    <xf numFmtId="164" fontId="8" fillId="14" borderId="4" xfId="0" applyNumberFormat="1" applyFont="1" applyFill="1" applyBorder="1" applyAlignment="1">
      <alignment horizontal="center" vertical="center"/>
    </xf>
    <xf numFmtId="164" fontId="8" fillId="14" borderId="5" xfId="0" applyNumberFormat="1" applyFont="1" applyFill="1" applyBorder="1" applyAlignment="1">
      <alignment horizontal="center" vertical="center"/>
    </xf>
    <xf numFmtId="164" fontId="8" fillId="14" borderId="0" xfId="0" applyNumberFormat="1" applyFont="1" applyFill="1" applyAlignment="1">
      <alignment horizontal="center" vertical="center"/>
    </xf>
    <xf numFmtId="0" fontId="8" fillId="14" borderId="1" xfId="0" applyFont="1" applyFill="1" applyBorder="1" applyAlignment="1">
      <alignment vertical="center"/>
    </xf>
    <xf numFmtId="0" fontId="20" fillId="14" borderId="2" xfId="2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center" vertical="center"/>
    </xf>
    <xf numFmtId="164" fontId="8" fillId="14" borderId="2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9" fillId="14" borderId="2" xfId="2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9" fillId="14" borderId="1" xfId="2" applyFont="1" applyFill="1" applyBorder="1" applyAlignment="1">
      <alignment horizontal="left" vertical="center"/>
    </xf>
    <xf numFmtId="14" fontId="8" fillId="14" borderId="2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 indent="1"/>
    </xf>
    <xf numFmtId="0" fontId="9" fillId="14" borderId="1" xfId="0" applyFont="1" applyFill="1" applyBorder="1" applyAlignment="1">
      <alignment horizontal="center" vertical="center" wrapText="1"/>
    </xf>
    <xf numFmtId="0" fontId="19" fillId="14" borderId="1" xfId="2" applyFont="1" applyFill="1" applyBorder="1" applyAlignment="1">
      <alignment horizontal="left" vertical="center" indent="1"/>
    </xf>
    <xf numFmtId="0" fontId="9" fillId="14" borderId="0" xfId="0" applyFont="1" applyFill="1"/>
    <xf numFmtId="0" fontId="2" fillId="14" borderId="1" xfId="0" applyFont="1" applyFill="1" applyBorder="1" applyAlignment="1">
      <alignment horizontal="center" vertical="center"/>
    </xf>
    <xf numFmtId="0" fontId="0" fillId="14" borderId="0" xfId="0" applyFill="1"/>
    <xf numFmtId="0" fontId="17" fillId="14" borderId="1" xfId="2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8" fillId="14" borderId="2" xfId="0" applyFont="1" applyFill="1" applyBorder="1" applyAlignment="1">
      <alignment horizontal="left" vertical="center"/>
    </xf>
    <xf numFmtId="0" fontId="19" fillId="14" borderId="2" xfId="2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/>
    </xf>
    <xf numFmtId="49" fontId="8" fillId="14" borderId="2" xfId="0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19" fillId="14" borderId="2" xfId="2" applyFont="1" applyFill="1" applyBorder="1" applyAlignment="1">
      <alignment horizontal="left"/>
    </xf>
    <xf numFmtId="0" fontId="23" fillId="14" borderId="1" xfId="0" applyFont="1" applyFill="1" applyBorder="1" applyAlignment="1">
      <alignment horizontal="center" vertical="center"/>
    </xf>
    <xf numFmtId="0" fontId="19" fillId="14" borderId="2" xfId="2" applyFont="1" applyFill="1" applyBorder="1"/>
    <xf numFmtId="0" fontId="23" fillId="14" borderId="1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17" fillId="14" borderId="2" xfId="2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indent="1"/>
    </xf>
    <xf numFmtId="0" fontId="2" fillId="14" borderId="1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vertical="center"/>
    </xf>
    <xf numFmtId="0" fontId="8" fillId="16" borderId="3" xfId="0" applyFont="1" applyFill="1" applyBorder="1" applyAlignment="1">
      <alignment horizontal="center" vertical="center"/>
    </xf>
    <xf numFmtId="14" fontId="26" fillId="16" borderId="2" xfId="0" applyNumberFormat="1" applyFont="1" applyFill="1" applyBorder="1" applyAlignment="1">
      <alignment horizontal="center" vertical="center"/>
    </xf>
    <xf numFmtId="3" fontId="8" fillId="16" borderId="2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164" fontId="8" fillId="16" borderId="2" xfId="0" applyNumberFormat="1" applyFont="1" applyFill="1" applyBorder="1" applyAlignment="1">
      <alignment horizontal="center" vertical="center"/>
    </xf>
    <xf numFmtId="164" fontId="8" fillId="16" borderId="4" xfId="0" applyNumberFormat="1" applyFont="1" applyFill="1" applyBorder="1" applyAlignment="1">
      <alignment horizontal="center" vertical="center"/>
    </xf>
    <xf numFmtId="164" fontId="8" fillId="16" borderId="5" xfId="0" applyNumberFormat="1" applyFont="1" applyFill="1" applyBorder="1" applyAlignment="1">
      <alignment horizontal="center" vertical="center"/>
    </xf>
    <xf numFmtId="164" fontId="8" fillId="16" borderId="0" xfId="0" applyNumberFormat="1" applyFont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8" fillId="16" borderId="1" xfId="0" applyFont="1" applyFill="1" applyBorder="1" applyAlignment="1">
      <alignment vertical="center"/>
    </xf>
    <xf numFmtId="0" fontId="9" fillId="16" borderId="0" xfId="0" applyFont="1" applyFill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3" fontId="26" fillId="0" borderId="2" xfId="0" applyNumberFormat="1" applyFont="1" applyBorder="1" applyAlignment="1">
      <alignment horizontal="center" vertical="center"/>
    </xf>
    <xf numFmtId="0" fontId="26" fillId="16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25" fillId="17" borderId="2" xfId="0" applyFont="1" applyFill="1" applyBorder="1"/>
    <xf numFmtId="0" fontId="9" fillId="0" borderId="2" xfId="2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7" fillId="11" borderId="2" xfId="2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7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9</xdr:col>
      <xdr:colOff>144637</xdr:colOff>
      <xdr:row>4</xdr:row>
      <xdr:rowOff>160685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0D0466-379C-413C-8803-EDB82673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190500"/>
          <a:ext cx="1992487" cy="732185"/>
        </a:xfrm>
        <a:prstGeom prst="rect">
          <a:avLst/>
        </a:prstGeom>
      </xdr:spPr>
    </xdr:pic>
    <xdr:clientData/>
  </xdr:twoCellAnchor>
  <xdr:twoCellAnchor>
    <xdr:from>
      <xdr:col>13</xdr:col>
      <xdr:colOff>569899</xdr:colOff>
      <xdr:row>4</xdr:row>
      <xdr:rowOff>89648</xdr:rowOff>
    </xdr:from>
    <xdr:to>
      <xdr:col>15</xdr:col>
      <xdr:colOff>638612</xdr:colOff>
      <xdr:row>5</xdr:row>
      <xdr:rowOff>342333</xdr:rowOff>
    </xdr:to>
    <xdr:sp macro="" textlink="">
      <xdr:nvSpPr>
        <xdr:cNvPr id="4" name="Diagrama de flujo: proceso alternativo 2">
          <a:extLst>
            <a:ext uri="{FF2B5EF4-FFF2-40B4-BE49-F238E27FC236}">
              <a16:creationId xmlns:a16="http://schemas.microsoft.com/office/drawing/2014/main" id="{8784E96A-69AD-4FE8-99A1-B57F4F91F0FF}"/>
            </a:ext>
          </a:extLst>
        </xdr:cNvPr>
        <xdr:cNvSpPr/>
      </xdr:nvSpPr>
      <xdr:spPr>
        <a:xfrm>
          <a:off x="12691463" y="832437"/>
          <a:ext cx="4013183" cy="438383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400" b="1">
              <a:solidFill>
                <a:srgbClr val="C00000"/>
              </a:solidFill>
            </a:rPr>
            <a:t>No olvidar</a:t>
          </a:r>
          <a:r>
            <a:rPr lang="es-PE" sz="1400" b="1" baseline="0">
              <a:solidFill>
                <a:srgbClr val="C00000"/>
              </a:solidFill>
            </a:rPr>
            <a:t> t</a:t>
          </a:r>
          <a:r>
            <a:rPr lang="es-PE" sz="1400" b="1">
              <a:solidFill>
                <a:srgbClr val="C00000"/>
              </a:solidFill>
            </a:rPr>
            <a:t>rasladar la información al link de GTH</a:t>
          </a:r>
        </a:p>
        <a:p>
          <a:pPr algn="l"/>
          <a:endParaRPr lang="es-PE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2962</xdr:colOff>
      <xdr:row>0</xdr:row>
      <xdr:rowOff>123825</xdr:rowOff>
    </xdr:from>
    <xdr:to>
      <xdr:col>9</xdr:col>
      <xdr:colOff>271424</xdr:colOff>
      <xdr:row>4</xdr:row>
      <xdr:rowOff>94010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1FF444-2124-4E12-8A69-B8D86156B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2987" y="123825"/>
          <a:ext cx="1992487" cy="732185"/>
        </a:xfrm>
        <a:prstGeom prst="rect">
          <a:avLst/>
        </a:prstGeom>
      </xdr:spPr>
    </xdr:pic>
    <xdr:clientData/>
  </xdr:twoCellAnchor>
  <xdr:twoCellAnchor>
    <xdr:from>
      <xdr:col>10</xdr:col>
      <xdr:colOff>1165413</xdr:colOff>
      <xdr:row>3</xdr:row>
      <xdr:rowOff>38419</xdr:rowOff>
    </xdr:from>
    <xdr:to>
      <xdr:col>12</xdr:col>
      <xdr:colOff>1331900</xdr:colOff>
      <xdr:row>5</xdr:row>
      <xdr:rowOff>102454</xdr:rowOff>
    </xdr:to>
    <xdr:sp macro="" textlink="">
      <xdr:nvSpPr>
        <xdr:cNvPr id="9" name="Diagrama de flujo: proceso alternativo 2">
          <a:extLst>
            <a:ext uri="{FF2B5EF4-FFF2-40B4-BE49-F238E27FC236}">
              <a16:creationId xmlns:a16="http://schemas.microsoft.com/office/drawing/2014/main" id="{EDC855D8-F64D-252A-10E4-79DE938AD6ED}"/>
            </a:ext>
          </a:extLst>
        </xdr:cNvPr>
        <xdr:cNvSpPr/>
      </xdr:nvSpPr>
      <xdr:spPr>
        <a:xfrm>
          <a:off x="14183447" y="595512"/>
          <a:ext cx="4008504" cy="435429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400" b="1">
              <a:solidFill>
                <a:srgbClr val="C00000"/>
              </a:solidFill>
            </a:rPr>
            <a:t>No olvidar</a:t>
          </a:r>
          <a:r>
            <a:rPr lang="es-PE" sz="1400" b="1" baseline="0">
              <a:solidFill>
                <a:srgbClr val="C00000"/>
              </a:solidFill>
            </a:rPr>
            <a:t> t</a:t>
          </a:r>
          <a:r>
            <a:rPr lang="es-PE" sz="1400" b="1">
              <a:solidFill>
                <a:srgbClr val="C00000"/>
              </a:solidFill>
            </a:rPr>
            <a:t>rasladar la información al link de GTH</a:t>
          </a:r>
        </a:p>
        <a:p>
          <a:pPr algn="l"/>
          <a:endParaRPr lang="es-PE" sz="1100">
            <a:solidFill>
              <a:srgbClr val="C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9</xdr:col>
      <xdr:colOff>256216</xdr:colOff>
      <xdr:row>4</xdr:row>
      <xdr:rowOff>144357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9463E9-8274-45BD-B336-DB3394E5F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0657" y="185057"/>
          <a:ext cx="2104066" cy="715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664028</xdr:colOff>
      <xdr:row>0</xdr:row>
      <xdr:rowOff>167368</xdr:rowOff>
    </xdr:from>
    <xdr:to>
      <xdr:col>10</xdr:col>
      <xdr:colOff>512350</xdr:colOff>
      <xdr:row>4</xdr:row>
      <xdr:rowOff>153882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FECE0770-7807-4623-B861-9E93BFA1D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1985" y="167368"/>
          <a:ext cx="2105747" cy="7104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366848</xdr:colOff>
      <xdr:row>0</xdr:row>
      <xdr:rowOff>167368</xdr:rowOff>
    </xdr:from>
    <xdr:to>
      <xdr:col>10</xdr:col>
      <xdr:colOff>542830</xdr:colOff>
      <xdr:row>4</xdr:row>
      <xdr:rowOff>153882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DA97C3-FC74-4FE4-8B4D-8EF27947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3688" y="167368"/>
          <a:ext cx="2172422" cy="7180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564968</xdr:colOff>
      <xdr:row>0</xdr:row>
      <xdr:rowOff>159748</xdr:rowOff>
    </xdr:from>
    <xdr:to>
      <xdr:col>10</xdr:col>
      <xdr:colOff>672370</xdr:colOff>
      <xdr:row>4</xdr:row>
      <xdr:rowOff>146262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B020CA-EDDF-45F2-B180-30BC93776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588" y="159748"/>
          <a:ext cx="2172422" cy="7180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564968</xdr:colOff>
      <xdr:row>0</xdr:row>
      <xdr:rowOff>159748</xdr:rowOff>
    </xdr:from>
    <xdr:to>
      <xdr:col>10</xdr:col>
      <xdr:colOff>672370</xdr:colOff>
      <xdr:row>4</xdr:row>
      <xdr:rowOff>146262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726031-F2A4-4208-B040-64F0184D6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588" y="159748"/>
          <a:ext cx="2172422" cy="718034"/>
        </a:xfrm>
        <a:prstGeom prst="rect">
          <a:avLst/>
        </a:prstGeom>
      </xdr:spPr>
    </xdr:pic>
    <xdr:clientData/>
  </xdr:twoCellAnchor>
  <xdr:twoCellAnchor editAs="oneCell">
    <xdr:from>
      <xdr:col>8</xdr:col>
      <xdr:colOff>564968</xdr:colOff>
      <xdr:row>0</xdr:row>
      <xdr:rowOff>159748</xdr:rowOff>
    </xdr:from>
    <xdr:to>
      <xdr:col>10</xdr:col>
      <xdr:colOff>413290</xdr:colOff>
      <xdr:row>4</xdr:row>
      <xdr:rowOff>146262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CDB1E-2632-44BF-A9C6-0AD366C4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588" y="159748"/>
          <a:ext cx="2172422" cy="7180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1137679</xdr:colOff>
      <xdr:row>0</xdr:row>
      <xdr:rowOff>0</xdr:rowOff>
    </xdr:from>
    <xdr:to>
      <xdr:col>8</xdr:col>
      <xdr:colOff>888804</xdr:colOff>
      <xdr:row>4</xdr:row>
      <xdr:rowOff>32829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33274289-A097-448A-8C2D-294659C4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874" y="0"/>
          <a:ext cx="1970450" cy="756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CERRADA%2026-03-2026%20PLANIFICACION%20PREGRADO%202026-1%20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entes"/>
      <sheetName val="Planes y aulas 2026"/>
      <sheetName val="EDITABLE"/>
      <sheetName val="Recomendaciones"/>
      <sheetName val="planes 2026-1"/>
      <sheetName val="Planificación 2026-1"/>
      <sheetName val="Convocatoria Concurso 2026-1"/>
      <sheetName val="REINCORPOR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esar.almeyda@autonomadeica.edu.pe" TargetMode="External"/><Relationship Id="rId2" Type="http://schemas.openxmlformats.org/officeDocument/2006/relationships/hyperlink" Target="mailto:damaris.mandamiento@autonomadeica.edu.pe" TargetMode="External"/><Relationship Id="rId1" Type="http://schemas.openxmlformats.org/officeDocument/2006/relationships/hyperlink" Target="mailto:jakeline.delacruz@autonomadeica.edu.p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ennick.sanchez@autonomadeica.edu.pe" TargetMode="External"/><Relationship Id="rId13" Type="http://schemas.openxmlformats.org/officeDocument/2006/relationships/drawing" Target="../drawings/drawing4.xml"/><Relationship Id="rId3" Type="http://schemas.openxmlformats.org/officeDocument/2006/relationships/hyperlink" Target="mailto:rony.perez@autonomadeica.edu.pe" TargetMode="External"/><Relationship Id="rId7" Type="http://schemas.openxmlformats.org/officeDocument/2006/relationships/hyperlink" Target="mailto:wilson.rios@autonomadeica.edu.pe" TargetMode="External"/><Relationship Id="rId12" Type="http://schemas.openxmlformats.org/officeDocument/2006/relationships/hyperlink" Target="mailto:carlos.alfaro@autonomadeica.edu.pe" TargetMode="External"/><Relationship Id="rId2" Type="http://schemas.openxmlformats.org/officeDocument/2006/relationships/hyperlink" Target="mailto:geraldina.parihuaman@autonomadeica.edu.pe" TargetMode="External"/><Relationship Id="rId1" Type="http://schemas.openxmlformats.org/officeDocument/2006/relationships/hyperlink" Target="mailto:pedro.padilla@autonomadeica.edu.pe" TargetMode="External"/><Relationship Id="rId6" Type="http://schemas.openxmlformats.org/officeDocument/2006/relationships/hyperlink" Target="mailto:arturo.reyes@autonomadeica.edu.pe" TargetMode="External"/><Relationship Id="rId11" Type="http://schemas.openxmlformats.org/officeDocument/2006/relationships/hyperlink" Target="mailto:juan.alcantara@autonomadeica.edu.pe" TargetMode="External"/><Relationship Id="rId5" Type="http://schemas.openxmlformats.org/officeDocument/2006/relationships/hyperlink" Target="mailto:maria.requena@autonomadeica.edu.pe" TargetMode="External"/><Relationship Id="rId15" Type="http://schemas.openxmlformats.org/officeDocument/2006/relationships/comments" Target="../comments2.xml"/><Relationship Id="rId10" Type="http://schemas.openxmlformats.org/officeDocument/2006/relationships/hyperlink" Target="mailto:monica.aguirre@autonomadeica.edu.pe" TargetMode="External"/><Relationship Id="rId4" Type="http://schemas.openxmlformats.org/officeDocument/2006/relationships/hyperlink" Target="mailto:carmen.pimentel@autonomadeica.edu.pe" TargetMode="External"/><Relationship Id="rId9" Type="http://schemas.openxmlformats.org/officeDocument/2006/relationships/hyperlink" Target="mailto:raul.aguado@autonomadeica.edu.pe" TargetMode="External"/><Relationship Id="rId1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greyes7936@gmail.com" TargetMode="External"/><Relationship Id="rId21" Type="http://schemas.openxmlformats.org/officeDocument/2006/relationships/hyperlink" Target="mailto:berriosvegacarmenluz7@gmail.com" TargetMode="External"/><Relationship Id="rId42" Type="http://schemas.openxmlformats.org/officeDocument/2006/relationships/hyperlink" Target="mailto:raul.aguado@autonomadeica.edu.pe" TargetMode="External"/><Relationship Id="rId63" Type="http://schemas.openxmlformats.org/officeDocument/2006/relationships/hyperlink" Target="mailto:sinoebg@gmail.com" TargetMode="External"/><Relationship Id="rId84" Type="http://schemas.openxmlformats.org/officeDocument/2006/relationships/hyperlink" Target="mailto:carlos.alfaro@autonomadeica.edu.pe" TargetMode="External"/><Relationship Id="rId138" Type="http://schemas.openxmlformats.org/officeDocument/2006/relationships/hyperlink" Target="mailto:mauro.ry94@gmail.com" TargetMode="External"/><Relationship Id="rId159" Type="http://schemas.openxmlformats.org/officeDocument/2006/relationships/hyperlink" Target="mailto:carlos.ordonez@autonomadeica.edu.pe" TargetMode="External"/><Relationship Id="rId170" Type="http://schemas.openxmlformats.org/officeDocument/2006/relationships/hyperlink" Target="mailto:luis.ortiz@autonomadeica.edu.pe" TargetMode="External"/><Relationship Id="rId107" Type="http://schemas.openxmlformats.org/officeDocument/2006/relationships/hyperlink" Target="mailto:jmalaspinac@gmail.com" TargetMode="External"/><Relationship Id="rId11" Type="http://schemas.openxmlformats.org/officeDocument/2006/relationships/hyperlink" Target="mailto:pedro.padilla@autonomadeica.edu.pe" TargetMode="External"/><Relationship Id="rId32" Type="http://schemas.openxmlformats.org/officeDocument/2006/relationships/hyperlink" Target="mailto:mrequena@unjfsc.edu.pe" TargetMode="External"/><Relationship Id="rId53" Type="http://schemas.openxmlformats.org/officeDocument/2006/relationships/hyperlink" Target="mailto:richardcallanbacilio@gmail.com" TargetMode="External"/><Relationship Id="rId74" Type="http://schemas.openxmlformats.org/officeDocument/2006/relationships/hyperlink" Target="mailto:melvalejandra@hotmail.com" TargetMode="External"/><Relationship Id="rId128" Type="http://schemas.openxmlformats.org/officeDocument/2006/relationships/hyperlink" Target="mailto:jose.tasaycor@autonomadeica.edu.pe" TargetMode="External"/><Relationship Id="rId149" Type="http://schemas.openxmlformats.org/officeDocument/2006/relationships/hyperlink" Target="mailto:luis.loo@autonomadeica.edu.pe" TargetMode="External"/><Relationship Id="rId5" Type="http://schemas.openxmlformats.org/officeDocument/2006/relationships/hyperlink" Target="mailto:emc1291@gmail.com" TargetMode="External"/><Relationship Id="rId95" Type="http://schemas.openxmlformats.org/officeDocument/2006/relationships/hyperlink" Target="mailto:ovidio.castillon@autonomadeica.edu.pe" TargetMode="External"/><Relationship Id="rId160" Type="http://schemas.openxmlformats.org/officeDocument/2006/relationships/hyperlink" Target="mailto:roberto.pozo@autonomadeica.edu.pe" TargetMode="External"/><Relationship Id="rId22" Type="http://schemas.openxmlformats.org/officeDocument/2006/relationships/hyperlink" Target="mailto:jorgecondereyes@gmail.com" TargetMode="External"/><Relationship Id="rId43" Type="http://schemas.openxmlformats.org/officeDocument/2006/relationships/hyperlink" Target="mailto:monica.aguirre@autonomadeica.edu.pe" TargetMode="External"/><Relationship Id="rId64" Type="http://schemas.openxmlformats.org/officeDocument/2006/relationships/hyperlink" Target="mailto:eduardo_velasquez_12@hotmail.com" TargetMode="External"/><Relationship Id="rId118" Type="http://schemas.openxmlformats.org/officeDocument/2006/relationships/hyperlink" Target="mailto:mario.reyes@autonomadeica.edu.pe" TargetMode="External"/><Relationship Id="rId139" Type="http://schemas.openxmlformats.org/officeDocument/2006/relationships/hyperlink" Target="mailto:mauro.ramirez@autonomadeica.edu.pe" TargetMode="External"/><Relationship Id="rId85" Type="http://schemas.openxmlformats.org/officeDocument/2006/relationships/hyperlink" Target="mailto:cesar.almeyda@autonomadeica.edu.pe" TargetMode="External"/><Relationship Id="rId150" Type="http://schemas.openxmlformats.org/officeDocument/2006/relationships/hyperlink" Target="mailto:victor.mendo@autonomadeica.edu.pe" TargetMode="External"/><Relationship Id="rId171" Type="http://schemas.openxmlformats.org/officeDocument/2006/relationships/hyperlink" Target="mailto:hugo.nunez@autonomadeica.edu.pe" TargetMode="External"/><Relationship Id="rId12" Type="http://schemas.openxmlformats.org/officeDocument/2006/relationships/hyperlink" Target="mailto:geraldina.parihuaman@autonomadeica.edu.pe" TargetMode="External"/><Relationship Id="rId33" Type="http://schemas.openxmlformats.org/officeDocument/2006/relationships/hyperlink" Target="mailto:econ.carlosrr@gmail.com" TargetMode="External"/><Relationship Id="rId108" Type="http://schemas.openxmlformats.org/officeDocument/2006/relationships/hyperlink" Target="mailto:javier.malaspina@autonomadeica.edu.pe" TargetMode="External"/><Relationship Id="rId129" Type="http://schemas.openxmlformats.org/officeDocument/2006/relationships/hyperlink" Target="mailto:mivario@hotmail.com" TargetMode="External"/><Relationship Id="rId54" Type="http://schemas.openxmlformats.org/officeDocument/2006/relationships/hyperlink" Target="mailto:vilmaskear@outlook.com" TargetMode="External"/><Relationship Id="rId75" Type="http://schemas.openxmlformats.org/officeDocument/2006/relationships/hyperlink" Target="mailto:sergiopasache@gmail.com" TargetMode="External"/><Relationship Id="rId96" Type="http://schemas.openxmlformats.org/officeDocument/2006/relationships/hyperlink" Target="mailto:pferreyrar@gmail.com" TargetMode="External"/><Relationship Id="rId140" Type="http://schemas.openxmlformats.org/officeDocument/2006/relationships/hyperlink" Target="mailto:geraldine.anicama@autonomadeica.edu.pe" TargetMode="External"/><Relationship Id="rId161" Type="http://schemas.openxmlformats.org/officeDocument/2006/relationships/hyperlink" Target="mailto:juan.lunavictoria@autonomadeica.edu.pe" TargetMode="External"/><Relationship Id="rId6" Type="http://schemas.openxmlformats.org/officeDocument/2006/relationships/hyperlink" Target="mailto:fraancisco.evngelista1@gmail.com" TargetMode="External"/><Relationship Id="rId23" Type="http://schemas.openxmlformats.org/officeDocument/2006/relationships/hyperlink" Target="mailto:rosa.sacramento1612@gmail.com" TargetMode="External"/><Relationship Id="rId28" Type="http://schemas.openxmlformats.org/officeDocument/2006/relationships/hyperlink" Target="mailto:geraldinaparihuaman@gmail.com" TargetMode="External"/><Relationship Id="rId49" Type="http://schemas.openxmlformats.org/officeDocument/2006/relationships/hyperlink" Target="mailto:moraleschavezgissel@gmail.com" TargetMode="External"/><Relationship Id="rId114" Type="http://schemas.openxmlformats.org/officeDocument/2006/relationships/hyperlink" Target="mailto:jose.palomino@autonomadeica.edu.pe" TargetMode="External"/><Relationship Id="rId119" Type="http://schemas.openxmlformats.org/officeDocument/2006/relationships/hyperlink" Target="mailto:fjsachun@gmail.com" TargetMode="External"/><Relationship Id="rId44" Type="http://schemas.openxmlformats.org/officeDocument/2006/relationships/hyperlink" Target="mailto:juan.alcantara@autonomadeica.edu.pe" TargetMode="External"/><Relationship Id="rId60" Type="http://schemas.openxmlformats.org/officeDocument/2006/relationships/hyperlink" Target="mailto:cesararturo2112@gmail.com" TargetMode="External"/><Relationship Id="rId65" Type="http://schemas.openxmlformats.org/officeDocument/2006/relationships/hyperlink" Target="mailto:grim866@gmail.com" TargetMode="External"/><Relationship Id="rId81" Type="http://schemas.openxmlformats.org/officeDocument/2006/relationships/hyperlink" Target="mailto:jmordinola@outlook.es" TargetMode="External"/><Relationship Id="rId86" Type="http://schemas.openxmlformats.org/officeDocument/2006/relationships/hyperlink" Target="mailto:maylloncr@gmail.com" TargetMode="External"/><Relationship Id="rId130" Type="http://schemas.openxmlformats.org/officeDocument/2006/relationships/hyperlink" Target="mailto:miguel.vargas@autonomadeica.edu.pe" TargetMode="External"/><Relationship Id="rId135" Type="http://schemas.openxmlformats.org/officeDocument/2006/relationships/hyperlink" Target="mailto:johanna.gago@autonomadeica.edu.pe" TargetMode="External"/><Relationship Id="rId151" Type="http://schemas.openxmlformats.org/officeDocument/2006/relationships/hyperlink" Target="mailto:armando.moreno@autonomadeica.edu.pe" TargetMode="External"/><Relationship Id="rId156" Type="http://schemas.openxmlformats.org/officeDocument/2006/relationships/hyperlink" Target="mailto:pedro.taya@autonomadeica.edu.pe" TargetMode="External"/><Relationship Id="rId177" Type="http://schemas.openxmlformats.org/officeDocument/2006/relationships/comments" Target="../comments4.xml"/><Relationship Id="rId172" Type="http://schemas.openxmlformats.org/officeDocument/2006/relationships/hyperlink" Target="mailto:jose.medina@autonomadeica.edu.pe" TargetMode="External"/><Relationship Id="rId13" Type="http://schemas.openxmlformats.org/officeDocument/2006/relationships/hyperlink" Target="mailto:rony.perez@autonomadeica.edu.pe" TargetMode="External"/><Relationship Id="rId18" Type="http://schemas.openxmlformats.org/officeDocument/2006/relationships/hyperlink" Target="mailto:wilson.rios@autonomadeica.edu.pe" TargetMode="External"/><Relationship Id="rId39" Type="http://schemas.openxmlformats.org/officeDocument/2006/relationships/hyperlink" Target="mailto:flormagaly021179@gmail.com" TargetMode="External"/><Relationship Id="rId109" Type="http://schemas.openxmlformats.org/officeDocument/2006/relationships/hyperlink" Target="mailto:marcelogutierrezk@gmail.com" TargetMode="External"/><Relationship Id="rId34" Type="http://schemas.openxmlformats.org/officeDocument/2006/relationships/hyperlink" Target="mailto:cesarxavy14@gmail.com" TargetMode="External"/><Relationship Id="rId50" Type="http://schemas.openxmlformats.org/officeDocument/2006/relationships/hyperlink" Target="mailto:jzumaeta01@gmail.com" TargetMode="External"/><Relationship Id="rId55" Type="http://schemas.openxmlformats.org/officeDocument/2006/relationships/hyperlink" Target="mailto:dequiroga09@gmail.com" TargetMode="External"/><Relationship Id="rId76" Type="http://schemas.openxmlformats.org/officeDocument/2006/relationships/hyperlink" Target="mailto:judithfiq2809@gmail.com" TargetMode="External"/><Relationship Id="rId97" Type="http://schemas.openxmlformats.org/officeDocument/2006/relationships/hyperlink" Target="mailto:patricia.ferreyra@autonomadeica.edu.pe" TargetMode="External"/><Relationship Id="rId104" Type="http://schemas.openxmlformats.org/officeDocument/2006/relationships/hyperlink" Target="mailto:mario.huallanca@autonomadeica.edu.pe" TargetMode="External"/><Relationship Id="rId120" Type="http://schemas.openxmlformats.org/officeDocument/2006/relationships/hyperlink" Target="mailto:freddy.sachun@autonomadeica.edu.pe" TargetMode="External"/><Relationship Id="rId125" Type="http://schemas.openxmlformats.org/officeDocument/2006/relationships/hyperlink" Target="mailto:corpfcont@gmail.com" TargetMode="External"/><Relationship Id="rId141" Type="http://schemas.openxmlformats.org/officeDocument/2006/relationships/hyperlink" Target="mailto:silvia.arias@autonomadeica.edu.pe" TargetMode="External"/><Relationship Id="rId146" Type="http://schemas.openxmlformats.org/officeDocument/2006/relationships/hyperlink" Target="mailto:jose.valle@autonomadeica.edu.pe" TargetMode="External"/><Relationship Id="rId167" Type="http://schemas.openxmlformats.org/officeDocument/2006/relationships/hyperlink" Target="mailto:gissela.perez@autonomadeica.edu.pe" TargetMode="External"/><Relationship Id="rId7" Type="http://schemas.openxmlformats.org/officeDocument/2006/relationships/hyperlink" Target="mailto:fabiancip304301@gmail.com" TargetMode="External"/><Relationship Id="rId71" Type="http://schemas.openxmlformats.org/officeDocument/2006/relationships/hyperlink" Target="mailto:c.f.g.jimenez@gmail.com" TargetMode="External"/><Relationship Id="rId92" Type="http://schemas.openxmlformats.org/officeDocument/2006/relationships/hyperlink" Target="mailto:regnercastillo2@gmail.com" TargetMode="External"/><Relationship Id="rId162" Type="http://schemas.openxmlformats.org/officeDocument/2006/relationships/hyperlink" Target="mailto:alexander.gallardo@autonomadeica.edu.pe" TargetMode="External"/><Relationship Id="rId2" Type="http://schemas.openxmlformats.org/officeDocument/2006/relationships/hyperlink" Target="mailto:jakeline.delacruz@autonomadeica.edu.pe" TargetMode="External"/><Relationship Id="rId29" Type="http://schemas.openxmlformats.org/officeDocument/2006/relationships/hyperlink" Target="mailto:damarismandamiento44@gmail.com" TargetMode="External"/><Relationship Id="rId24" Type="http://schemas.openxmlformats.org/officeDocument/2006/relationships/hyperlink" Target="mailto:miguel.samanamud.efcn@gmail.com" TargetMode="External"/><Relationship Id="rId40" Type="http://schemas.openxmlformats.org/officeDocument/2006/relationships/hyperlink" Target="mailto:j1511guerrero@gmial.com" TargetMode="External"/><Relationship Id="rId45" Type="http://schemas.openxmlformats.org/officeDocument/2006/relationships/hyperlink" Target="mailto:jgomero@unab.ed.pe" TargetMode="External"/><Relationship Id="rId66" Type="http://schemas.openxmlformats.org/officeDocument/2006/relationships/hyperlink" Target="mailto:noramz2025@gmail.com" TargetMode="External"/><Relationship Id="rId87" Type="http://schemas.openxmlformats.org/officeDocument/2006/relationships/hyperlink" Target="mailto:mariela.ayllon@autonomadeica.edu.pe" TargetMode="External"/><Relationship Id="rId110" Type="http://schemas.openxmlformats.org/officeDocument/2006/relationships/hyperlink" Target="mailto:ruth.marcelo@autonomadeica.edu.pe" TargetMode="External"/><Relationship Id="rId115" Type="http://schemas.openxmlformats.org/officeDocument/2006/relationships/hyperlink" Target="mailto:luquirozsanchez@gmail.com" TargetMode="External"/><Relationship Id="rId131" Type="http://schemas.openxmlformats.org/officeDocument/2006/relationships/hyperlink" Target="mailto:lvicunavilca@gmail.com" TargetMode="External"/><Relationship Id="rId136" Type="http://schemas.openxmlformats.org/officeDocument/2006/relationships/hyperlink" Target="mailto:rc.bryan.simon@gmail.com" TargetMode="External"/><Relationship Id="rId157" Type="http://schemas.openxmlformats.org/officeDocument/2006/relationships/hyperlink" Target="mailto:edwardo.toralva@autonomadeica.edu.pe" TargetMode="External"/><Relationship Id="rId61" Type="http://schemas.openxmlformats.org/officeDocument/2006/relationships/hyperlink" Target="mailto:abogada.betsabe.pizarro@gmail.com" TargetMode="External"/><Relationship Id="rId82" Type="http://schemas.openxmlformats.org/officeDocument/2006/relationships/hyperlink" Target="mailto:ricardosnxz@gmail.com" TargetMode="External"/><Relationship Id="rId152" Type="http://schemas.openxmlformats.org/officeDocument/2006/relationships/hyperlink" Target="mailto:luis.pe&#241;a@autonomadeica.edu.pe" TargetMode="External"/><Relationship Id="rId173" Type="http://schemas.openxmlformats.org/officeDocument/2006/relationships/hyperlink" Target="mailto:graciela.lopez@autonomadeica.edu.pe" TargetMode="External"/><Relationship Id="rId19" Type="http://schemas.openxmlformats.org/officeDocument/2006/relationships/hyperlink" Target="mailto:rodrisag18@gmail.com" TargetMode="External"/><Relationship Id="rId14" Type="http://schemas.openxmlformats.org/officeDocument/2006/relationships/hyperlink" Target="mailto:carmen.pimentel@autonomadeica.edu.pe" TargetMode="External"/><Relationship Id="rId30" Type="http://schemas.openxmlformats.org/officeDocument/2006/relationships/hyperlink" Target="mailto:rperezr30@gmail.com" TargetMode="External"/><Relationship Id="rId35" Type="http://schemas.openxmlformats.org/officeDocument/2006/relationships/hyperlink" Target="mailto:folkennick34@gmail.com" TargetMode="External"/><Relationship Id="rId56" Type="http://schemas.openxmlformats.org/officeDocument/2006/relationships/hyperlink" Target="mailto:marco.zafra@gmail.com" TargetMode="External"/><Relationship Id="rId77" Type="http://schemas.openxmlformats.org/officeDocument/2006/relationships/hyperlink" Target="mailto:jcarlos2504@hotmail.com" TargetMode="External"/><Relationship Id="rId100" Type="http://schemas.openxmlformats.org/officeDocument/2006/relationships/hyperlink" Target="mailto:yadhira.hayashi@autonomadeica.edu.pe" TargetMode="External"/><Relationship Id="rId105" Type="http://schemas.openxmlformats.org/officeDocument/2006/relationships/hyperlink" Target="mailto:huamanfloreselio@gmail.com" TargetMode="External"/><Relationship Id="rId126" Type="http://schemas.openxmlformats.org/officeDocument/2006/relationships/hyperlink" Target="mailto:leonardo.martinez@autonomadeica.edu.pe" TargetMode="External"/><Relationship Id="rId147" Type="http://schemas.openxmlformats.org/officeDocument/2006/relationships/hyperlink" Target="mailto:dayana.vasquez@autonomadeica.edu.pe" TargetMode="External"/><Relationship Id="rId168" Type="http://schemas.openxmlformats.org/officeDocument/2006/relationships/hyperlink" Target="mailto:martin.palacios@autonomadeica.edu.pe" TargetMode="External"/><Relationship Id="rId8" Type="http://schemas.openxmlformats.org/officeDocument/2006/relationships/hyperlink" Target="mailto:luis.lino@cip.org.pe" TargetMode="External"/><Relationship Id="rId51" Type="http://schemas.openxmlformats.org/officeDocument/2006/relationships/hyperlink" Target="mailto:cvjuliodiaz@gmail.com" TargetMode="External"/><Relationship Id="rId72" Type="http://schemas.openxmlformats.org/officeDocument/2006/relationships/hyperlink" Target="mailto:joseluisoscco_injante@hotmail.com" TargetMode="External"/><Relationship Id="rId93" Type="http://schemas.openxmlformats.org/officeDocument/2006/relationships/hyperlink" Target="mailto:regner.castillo@autonomadeica.edu.pe" TargetMode="External"/><Relationship Id="rId98" Type="http://schemas.openxmlformats.org/officeDocument/2006/relationships/hyperlink" Target="mailto:helen.gamarra@autonomadeica.edu.pe" TargetMode="External"/><Relationship Id="rId121" Type="http://schemas.openxmlformats.org/officeDocument/2006/relationships/hyperlink" Target="mailto:flordemaria31.c@gmail.com" TargetMode="External"/><Relationship Id="rId142" Type="http://schemas.openxmlformats.org/officeDocument/2006/relationships/hyperlink" Target="mailto:carlos.cruz@autonomadeica.edu.pe" TargetMode="External"/><Relationship Id="rId163" Type="http://schemas.openxmlformats.org/officeDocument/2006/relationships/hyperlink" Target="mailto:wuilian.gonzales@autonomadeica.edu.pe" TargetMode="External"/><Relationship Id="rId3" Type="http://schemas.openxmlformats.org/officeDocument/2006/relationships/hyperlink" Target="mailto:jakimeli@outlook.com" TargetMode="External"/><Relationship Id="rId25" Type="http://schemas.openxmlformats.org/officeDocument/2006/relationships/hyperlink" Target="mailto:johnstevensgavino1101@gmail.com" TargetMode="External"/><Relationship Id="rId46" Type="http://schemas.openxmlformats.org/officeDocument/2006/relationships/hyperlink" Target="mailto:carlos.recuay@gmail.com" TargetMode="External"/><Relationship Id="rId67" Type="http://schemas.openxmlformats.org/officeDocument/2006/relationships/hyperlink" Target="mailto:sotomayorgeo@gmail.com" TargetMode="External"/><Relationship Id="rId116" Type="http://schemas.openxmlformats.org/officeDocument/2006/relationships/hyperlink" Target="mailto:lupe.quiroz@autonomadeica.edu.pe" TargetMode="External"/><Relationship Id="rId137" Type="http://schemas.openxmlformats.org/officeDocument/2006/relationships/hyperlink" Target="mailto:bryan.rodriguez@autonomadeica.edu.pe" TargetMode="External"/><Relationship Id="rId158" Type="http://schemas.openxmlformats.org/officeDocument/2006/relationships/hyperlink" Target="mailto:raul.navarrete@autonomadeica.edu.pe" TargetMode="External"/><Relationship Id="rId20" Type="http://schemas.openxmlformats.org/officeDocument/2006/relationships/hyperlink" Target="mailto:titorojas189@gmail.com" TargetMode="External"/><Relationship Id="rId41" Type="http://schemas.openxmlformats.org/officeDocument/2006/relationships/hyperlink" Target="mailto:alfredo.abantomerino@gmail.com" TargetMode="External"/><Relationship Id="rId62" Type="http://schemas.openxmlformats.org/officeDocument/2006/relationships/hyperlink" Target="mailto:carlosulloque88@gmail.com" TargetMode="External"/><Relationship Id="rId83" Type="http://schemas.openxmlformats.org/officeDocument/2006/relationships/hyperlink" Target="mailto:marcopesantes131@gmail.com" TargetMode="External"/><Relationship Id="rId88" Type="http://schemas.openxmlformats.org/officeDocument/2006/relationships/hyperlink" Target="mailto:rrbuendia@hotmail.com" TargetMode="External"/><Relationship Id="rId111" Type="http://schemas.openxmlformats.org/officeDocument/2006/relationships/hyperlink" Target="mailto:nardacmj@gmail.com" TargetMode="External"/><Relationship Id="rId132" Type="http://schemas.openxmlformats.org/officeDocument/2006/relationships/hyperlink" Target="mailto:icaverot@hotmail.com" TargetMode="External"/><Relationship Id="rId153" Type="http://schemas.openxmlformats.org/officeDocument/2006/relationships/hyperlink" Target="mailto:julio.purizaca@autonomadeica.edu.pe" TargetMode="External"/><Relationship Id="rId174" Type="http://schemas.openxmlformats.org/officeDocument/2006/relationships/hyperlink" Target="mailto:jose.almeyda@autonomadeica.edu.pe" TargetMode="External"/><Relationship Id="rId15" Type="http://schemas.openxmlformats.org/officeDocument/2006/relationships/hyperlink" Target="mailto:luisferquinic@gmail.com" TargetMode="External"/><Relationship Id="rId36" Type="http://schemas.openxmlformats.org/officeDocument/2006/relationships/hyperlink" Target="mailto:kennick.sanchez@autonomadeica.edu.pe" TargetMode="External"/><Relationship Id="rId57" Type="http://schemas.openxmlformats.org/officeDocument/2006/relationships/hyperlink" Target="mailto:joseantoniolaw@gmail.com" TargetMode="External"/><Relationship Id="rId106" Type="http://schemas.openxmlformats.org/officeDocument/2006/relationships/hyperlink" Target="mailto:elio.huaman@autonomadeica.edu.pe" TargetMode="External"/><Relationship Id="rId127" Type="http://schemas.openxmlformats.org/officeDocument/2006/relationships/hyperlink" Target="mailto:jotaro417@hotmail.com" TargetMode="External"/><Relationship Id="rId10" Type="http://schemas.openxmlformats.org/officeDocument/2006/relationships/hyperlink" Target="mailto:mendozacastillojuanjose@gmail.com" TargetMode="External"/><Relationship Id="rId31" Type="http://schemas.openxmlformats.org/officeDocument/2006/relationships/hyperlink" Target="mailto:hay1sociologa@gmail.com" TargetMode="External"/><Relationship Id="rId52" Type="http://schemas.openxmlformats.org/officeDocument/2006/relationships/hyperlink" Target="mailto:rafaelromerocarazas@gmail.com" TargetMode="External"/><Relationship Id="rId73" Type="http://schemas.openxmlformats.org/officeDocument/2006/relationships/hyperlink" Target="mailto:anali_2486@hotmail.com" TargetMode="External"/><Relationship Id="rId78" Type="http://schemas.openxmlformats.org/officeDocument/2006/relationships/hyperlink" Target="mailto:jose.jayo89@gmail.com" TargetMode="External"/><Relationship Id="rId94" Type="http://schemas.openxmlformats.org/officeDocument/2006/relationships/hyperlink" Target="mailto:ovi_jcm@hotmail.com" TargetMode="External"/><Relationship Id="rId99" Type="http://schemas.openxmlformats.org/officeDocument/2006/relationships/hyperlink" Target="mailto:yadhirahayashi@gmail.com" TargetMode="External"/><Relationship Id="rId101" Type="http://schemas.openxmlformats.org/officeDocument/2006/relationships/hyperlink" Target="mailto:patricia.hernandez@hotmail.es" TargetMode="External"/><Relationship Id="rId122" Type="http://schemas.openxmlformats.org/officeDocument/2006/relationships/hyperlink" Target="mailto:flor.santiago@autonomadeica.edu.pe" TargetMode="External"/><Relationship Id="rId143" Type="http://schemas.openxmlformats.org/officeDocument/2006/relationships/hyperlink" Target="mailto:jose.huallanca@autonomadeica.edu.pe" TargetMode="External"/><Relationship Id="rId148" Type="http://schemas.openxmlformats.org/officeDocument/2006/relationships/hyperlink" Target="mailto:miguel.huasasquiche@autonomadeica.edu.pe" TargetMode="External"/><Relationship Id="rId164" Type="http://schemas.openxmlformats.org/officeDocument/2006/relationships/hyperlink" Target="mailto:julio.wu@autonomadeica.edu.pe" TargetMode="External"/><Relationship Id="rId169" Type="http://schemas.openxmlformats.org/officeDocument/2006/relationships/hyperlink" Target="mailto:luz.pachas@autonomadeica.edu.pe" TargetMode="External"/><Relationship Id="rId4" Type="http://schemas.openxmlformats.org/officeDocument/2006/relationships/hyperlink" Target="mailto:durisandroanibal@gmail.com" TargetMode="External"/><Relationship Id="rId9" Type="http://schemas.openxmlformats.org/officeDocument/2006/relationships/hyperlink" Target="mailto:damaris.mandamiento@autonomadeica.edu.pe" TargetMode="External"/><Relationship Id="rId26" Type="http://schemas.openxmlformats.org/officeDocument/2006/relationships/hyperlink" Target="mailto:mirandabazalar19@gmail.com" TargetMode="External"/><Relationship Id="rId47" Type="http://schemas.openxmlformats.org/officeDocument/2006/relationships/hyperlink" Target="mailto:percysr219@gmail.com" TargetMode="External"/><Relationship Id="rId68" Type="http://schemas.openxmlformats.org/officeDocument/2006/relationships/hyperlink" Target="mailto:juromar@gmail.com" TargetMode="External"/><Relationship Id="rId89" Type="http://schemas.openxmlformats.org/officeDocument/2006/relationships/hyperlink" Target="mailto:roberto.buendia@autonomadeica.edu.pe" TargetMode="External"/><Relationship Id="rId112" Type="http://schemas.openxmlformats.org/officeDocument/2006/relationships/hyperlink" Target="mailto:narda.marquez@autonomadeica.edu.pe" TargetMode="External"/><Relationship Id="rId133" Type="http://schemas.openxmlformats.org/officeDocument/2006/relationships/hyperlink" Target="mailto:isabel.cavero@autonomadeica.edu.pe" TargetMode="External"/><Relationship Id="rId154" Type="http://schemas.openxmlformats.org/officeDocument/2006/relationships/hyperlink" Target="mailto:victor.saravia@autonomadeica.edu.pe" TargetMode="External"/><Relationship Id="rId175" Type="http://schemas.openxmlformats.org/officeDocument/2006/relationships/hyperlink" Target="mailto:luis.balbuena@autonomadeica.edu.pe" TargetMode="External"/><Relationship Id="rId16" Type="http://schemas.openxmlformats.org/officeDocument/2006/relationships/hyperlink" Target="mailto:maria.requena@autonomadeica.edu.pe" TargetMode="External"/><Relationship Id="rId37" Type="http://schemas.openxmlformats.org/officeDocument/2006/relationships/hyperlink" Target="mailto:wagnertrujillo7@hotmail.com" TargetMode="External"/><Relationship Id="rId58" Type="http://schemas.openxmlformats.org/officeDocument/2006/relationships/hyperlink" Target="mailto:osg@estudio-salazar.com" TargetMode="External"/><Relationship Id="rId79" Type="http://schemas.openxmlformats.org/officeDocument/2006/relationships/hyperlink" Target="mailto:jorgemartinvegar@gmail.com" TargetMode="External"/><Relationship Id="rId102" Type="http://schemas.openxmlformats.org/officeDocument/2006/relationships/hyperlink" Target="mailto:patricia.hernandez@autonomadeica.edu.pe" TargetMode="External"/><Relationship Id="rId123" Type="http://schemas.openxmlformats.org/officeDocument/2006/relationships/hyperlink" Target="mailto:trabajoeth12@gmail.com" TargetMode="External"/><Relationship Id="rId144" Type="http://schemas.openxmlformats.org/officeDocument/2006/relationships/hyperlink" Target="mailto:cesar.huamani@autonomadeica.edu.pe" TargetMode="External"/><Relationship Id="rId90" Type="http://schemas.openxmlformats.org/officeDocument/2006/relationships/hyperlink" Target="mailto:johanncaso@gmail.com" TargetMode="External"/><Relationship Id="rId165" Type="http://schemas.openxmlformats.org/officeDocument/2006/relationships/hyperlink" Target="mailto:wendy.trelles@autonomadeica.edu.pe" TargetMode="External"/><Relationship Id="rId27" Type="http://schemas.openxmlformats.org/officeDocument/2006/relationships/hyperlink" Target="mailto:ppadilla1580@gmail.com" TargetMode="External"/><Relationship Id="rId48" Type="http://schemas.openxmlformats.org/officeDocument/2006/relationships/hyperlink" Target="mailto:josemabuitron@gmail.com" TargetMode="External"/><Relationship Id="rId69" Type="http://schemas.openxmlformats.org/officeDocument/2006/relationships/hyperlink" Target="mailto:cecimarzz28@gmail.com" TargetMode="External"/><Relationship Id="rId113" Type="http://schemas.openxmlformats.org/officeDocument/2006/relationships/hyperlink" Target="mailto:pepejlpz123@gmail.com" TargetMode="External"/><Relationship Id="rId134" Type="http://schemas.openxmlformats.org/officeDocument/2006/relationships/hyperlink" Target="mailto:gago.johanna@gmail.com" TargetMode="External"/><Relationship Id="rId80" Type="http://schemas.openxmlformats.org/officeDocument/2006/relationships/hyperlink" Target="mailto:candy-guardia@hotmail.com" TargetMode="External"/><Relationship Id="rId155" Type="http://schemas.openxmlformats.org/officeDocument/2006/relationships/hyperlink" Target="mailto:renzo.taco@autonomadeica.edu.pe" TargetMode="External"/><Relationship Id="rId176" Type="http://schemas.openxmlformats.org/officeDocument/2006/relationships/vmlDrawing" Target="../drawings/vmlDrawing4.vml"/><Relationship Id="rId17" Type="http://schemas.openxmlformats.org/officeDocument/2006/relationships/hyperlink" Target="mailto:arturo.reyes@autonomadeica.edu.pe" TargetMode="External"/><Relationship Id="rId38" Type="http://schemas.openxmlformats.org/officeDocument/2006/relationships/hyperlink" Target="mailto:guille.villa.vc12@gmail.com" TargetMode="External"/><Relationship Id="rId59" Type="http://schemas.openxmlformats.org/officeDocument/2006/relationships/hyperlink" Target="mailto:luisfelipe0007@hotmail.com" TargetMode="External"/><Relationship Id="rId103" Type="http://schemas.openxmlformats.org/officeDocument/2006/relationships/hyperlink" Target="mailto:mariocesar2050@gmail.com" TargetMode="External"/><Relationship Id="rId124" Type="http://schemas.openxmlformats.org/officeDocument/2006/relationships/hyperlink" Target="mailto:erlith.tafur@autonomadeica.edu.pe" TargetMode="External"/><Relationship Id="rId70" Type="http://schemas.openxmlformats.org/officeDocument/2006/relationships/hyperlink" Target="mailto:acero.am@pucp.edu.pe" TargetMode="External"/><Relationship Id="rId91" Type="http://schemas.openxmlformats.org/officeDocument/2006/relationships/hyperlink" Target="mailto:joanna.canales@autonomadeica.edu.pe" TargetMode="External"/><Relationship Id="rId145" Type="http://schemas.openxmlformats.org/officeDocument/2006/relationships/hyperlink" Target="mailto:angel.pozo@autonomadeica.edu.pe" TargetMode="External"/><Relationship Id="rId166" Type="http://schemas.openxmlformats.org/officeDocument/2006/relationships/hyperlink" Target="mailto:richerson.piscoche@autonomadeica.edu.pe" TargetMode="External"/><Relationship Id="rId1" Type="http://schemas.openxmlformats.org/officeDocument/2006/relationships/hyperlink" Target="mailto:chungjose675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A3AE-9AA1-4BBA-A581-9F2AD4D5DB6A}">
  <sheetPr>
    <tabColor rgb="FFFFC000"/>
    <pageSetUpPr fitToPage="1"/>
  </sheetPr>
  <dimension ref="B1:P118"/>
  <sheetViews>
    <sheetView showGridLines="0" zoomScale="85" zoomScaleNormal="85" workbookViewId="0">
      <selection activeCell="K10" sqref="K10"/>
    </sheetView>
  </sheetViews>
  <sheetFormatPr defaultColWidth="11.42578125" defaultRowHeight="15" customHeight="1"/>
  <cols>
    <col min="1" max="1" width="2.85546875" customWidth="1"/>
    <col min="2" max="2" width="5.7109375" customWidth="1"/>
    <col min="3" max="3" width="9.85546875" bestFit="1" customWidth="1"/>
    <col min="4" max="4" width="38.140625" style="16" bestFit="1" customWidth="1"/>
    <col min="5" max="5" width="9.28515625" bestFit="1" customWidth="1"/>
    <col min="6" max="6" width="23.5703125" style="16" bestFit="1" customWidth="1"/>
    <col min="7" max="7" width="8.7109375" bestFit="1" customWidth="1"/>
    <col min="8" max="8" width="14.42578125" bestFit="1" customWidth="1"/>
    <col min="9" max="9" width="13.28515625" style="2" customWidth="1"/>
    <col min="10" max="11" width="10.7109375" style="2" customWidth="1"/>
    <col min="12" max="12" width="16.140625" style="15" customWidth="1"/>
    <col min="13" max="13" width="8.5703125" customWidth="1"/>
    <col min="14" max="14" width="36.140625" style="16" bestFit="1" customWidth="1"/>
    <col min="15" max="15" width="19.5703125" style="1" bestFit="1" customWidth="1"/>
    <col min="16" max="16" width="14.7109375" bestFit="1" customWidth="1"/>
  </cols>
  <sheetData>
    <row r="1" spans="2:16">
      <c r="P1" s="1"/>
    </row>
    <row r="2" spans="2:16">
      <c r="P2" s="1"/>
    </row>
    <row r="3" spans="2:16">
      <c r="P3" s="1"/>
    </row>
    <row r="4" spans="2:16">
      <c r="P4" s="1"/>
    </row>
    <row r="5" spans="2:16">
      <c r="P5" s="1"/>
    </row>
    <row r="6" spans="2:16" ht="40.700000000000003" customHeight="1">
      <c r="B6" s="112" t="s">
        <v>0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</row>
    <row r="7" spans="2:16">
      <c r="P7" s="1"/>
    </row>
    <row r="8" spans="2:16" s="3" customFormat="1" ht="41.1" customHeight="1">
      <c r="B8" s="9" t="s">
        <v>1</v>
      </c>
      <c r="C8" s="9" t="s">
        <v>2</v>
      </c>
      <c r="D8" s="17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17" t="s">
        <v>13</v>
      </c>
      <c r="O8" s="9" t="s">
        <v>14</v>
      </c>
      <c r="P8" s="9" t="s">
        <v>15</v>
      </c>
    </row>
    <row r="9" spans="2:16">
      <c r="B9" s="4">
        <v>1</v>
      </c>
      <c r="C9" s="4">
        <v>45549528</v>
      </c>
      <c r="D9" s="18" t="s">
        <v>16</v>
      </c>
      <c r="E9" s="4" t="s">
        <v>17</v>
      </c>
      <c r="F9" s="18" t="s">
        <v>18</v>
      </c>
      <c r="G9" s="4" t="s">
        <v>19</v>
      </c>
      <c r="H9" s="4" t="s">
        <v>20</v>
      </c>
      <c r="I9" s="12">
        <v>40</v>
      </c>
      <c r="J9" s="12"/>
      <c r="K9" s="12">
        <f>+I9+J9</f>
        <v>40</v>
      </c>
      <c r="L9" s="14" t="s">
        <v>21</v>
      </c>
      <c r="M9" s="4"/>
      <c r="N9" s="18" t="s">
        <v>22</v>
      </c>
      <c r="O9" s="4">
        <v>969804997</v>
      </c>
      <c r="P9" s="4"/>
    </row>
    <row r="10" spans="2:16">
      <c r="B10" s="4">
        <v>2</v>
      </c>
      <c r="C10" s="4">
        <v>40364065</v>
      </c>
      <c r="D10" s="18" t="s">
        <v>23</v>
      </c>
      <c r="E10" s="4" t="s">
        <v>17</v>
      </c>
      <c r="F10" s="18" t="s">
        <v>24</v>
      </c>
      <c r="G10" s="4" t="s">
        <v>19</v>
      </c>
      <c r="H10" s="4" t="s">
        <v>25</v>
      </c>
      <c r="I10" s="12">
        <v>32</v>
      </c>
      <c r="J10" s="12"/>
      <c r="K10" s="12">
        <f t="shared" ref="K10:K40" si="0">+I10+J10</f>
        <v>32</v>
      </c>
      <c r="L10" s="14" t="s">
        <v>26</v>
      </c>
      <c r="M10" s="4"/>
      <c r="N10" s="18" t="s">
        <v>27</v>
      </c>
      <c r="O10" s="4" t="s">
        <v>28</v>
      </c>
      <c r="P10" s="4"/>
    </row>
    <row r="11" spans="2:16">
      <c r="B11" s="4">
        <v>3</v>
      </c>
      <c r="C11" s="4">
        <v>43041422</v>
      </c>
      <c r="D11" s="18" t="s">
        <v>29</v>
      </c>
      <c r="E11" s="4" t="s">
        <v>17</v>
      </c>
      <c r="F11" s="18" t="s">
        <v>30</v>
      </c>
      <c r="G11" s="4" t="s">
        <v>31</v>
      </c>
      <c r="H11" s="4" t="s">
        <v>32</v>
      </c>
      <c r="I11" s="12">
        <v>32</v>
      </c>
      <c r="J11" s="12"/>
      <c r="K11" s="12">
        <f t="shared" si="0"/>
        <v>32</v>
      </c>
      <c r="L11" s="14" t="s">
        <v>33</v>
      </c>
      <c r="M11" s="4"/>
      <c r="N11" s="18" t="s">
        <v>34</v>
      </c>
      <c r="O11" s="4">
        <v>984949379</v>
      </c>
      <c r="P11" s="4"/>
    </row>
    <row r="12" spans="2:16">
      <c r="B12" s="4">
        <v>4</v>
      </c>
      <c r="C12" s="4">
        <v>42508963</v>
      </c>
      <c r="D12" s="18" t="s">
        <v>35</v>
      </c>
      <c r="E12" s="4" t="s">
        <v>17</v>
      </c>
      <c r="F12" s="18" t="s">
        <v>36</v>
      </c>
      <c r="G12" s="4" t="s">
        <v>19</v>
      </c>
      <c r="H12" s="4" t="s">
        <v>25</v>
      </c>
      <c r="I12" s="12">
        <v>24</v>
      </c>
      <c r="J12" s="12"/>
      <c r="K12" s="12">
        <f t="shared" si="0"/>
        <v>24</v>
      </c>
      <c r="L12" s="14" t="s">
        <v>37</v>
      </c>
      <c r="M12" s="4"/>
      <c r="N12" s="18" t="s">
        <v>38</v>
      </c>
      <c r="O12" s="4">
        <v>923395834</v>
      </c>
      <c r="P12" s="4"/>
    </row>
    <row r="13" spans="2:16">
      <c r="B13" s="4">
        <v>5</v>
      </c>
      <c r="C13" s="4">
        <v>21427721</v>
      </c>
      <c r="D13" s="18" t="s">
        <v>39</v>
      </c>
      <c r="E13" s="4" t="s">
        <v>17</v>
      </c>
      <c r="F13" s="18" t="s">
        <v>18</v>
      </c>
      <c r="G13" s="4" t="s">
        <v>40</v>
      </c>
      <c r="H13" s="4" t="s">
        <v>41</v>
      </c>
      <c r="I13" s="12">
        <v>30</v>
      </c>
      <c r="J13" s="12"/>
      <c r="K13" s="12">
        <f t="shared" si="0"/>
        <v>30</v>
      </c>
      <c r="L13" s="14" t="s">
        <v>42</v>
      </c>
      <c r="M13" s="4"/>
      <c r="N13" s="18" t="s">
        <v>43</v>
      </c>
      <c r="O13" s="4">
        <v>956467500</v>
      </c>
      <c r="P13" s="4"/>
    </row>
    <row r="14" spans="2:16">
      <c r="B14" s="4">
        <v>6</v>
      </c>
      <c r="C14" s="4">
        <v>40385643</v>
      </c>
      <c r="D14" s="18" t="s">
        <v>44</v>
      </c>
      <c r="E14" s="4" t="s">
        <v>17</v>
      </c>
      <c r="F14" s="18" t="s">
        <v>24</v>
      </c>
      <c r="G14" s="4" t="s">
        <v>19</v>
      </c>
      <c r="H14" s="4" t="s">
        <v>32</v>
      </c>
      <c r="I14" s="12">
        <v>38</v>
      </c>
      <c r="J14" s="12"/>
      <c r="K14" s="12">
        <f t="shared" si="0"/>
        <v>38</v>
      </c>
      <c r="L14" s="14" t="s">
        <v>45</v>
      </c>
      <c r="M14" s="4"/>
      <c r="N14" s="18" t="s">
        <v>46</v>
      </c>
      <c r="O14" s="4" t="s">
        <v>47</v>
      </c>
      <c r="P14" s="4"/>
    </row>
    <row r="15" spans="2:16">
      <c r="B15" s="4">
        <v>7</v>
      </c>
      <c r="C15" s="4">
        <v>80034938</v>
      </c>
      <c r="D15" s="18" t="s">
        <v>48</v>
      </c>
      <c r="E15" s="4" t="s">
        <v>17</v>
      </c>
      <c r="F15" s="18" t="s">
        <v>18</v>
      </c>
      <c r="G15" s="4" t="s">
        <v>19</v>
      </c>
      <c r="H15" s="4" t="s">
        <v>25</v>
      </c>
      <c r="I15" s="12">
        <v>32</v>
      </c>
      <c r="J15" s="12"/>
      <c r="K15" s="12">
        <f t="shared" si="0"/>
        <v>32</v>
      </c>
      <c r="L15" s="14" t="s">
        <v>49</v>
      </c>
      <c r="M15" s="4"/>
      <c r="N15" s="18" t="s">
        <v>50</v>
      </c>
      <c r="O15" s="4">
        <v>965346069</v>
      </c>
      <c r="P15" s="4"/>
    </row>
    <row r="16" spans="2:16">
      <c r="B16" s="4">
        <v>8</v>
      </c>
      <c r="C16" s="4">
        <v>21536202</v>
      </c>
      <c r="D16" s="18" t="s">
        <v>51</v>
      </c>
      <c r="E16" s="4" t="s">
        <v>17</v>
      </c>
      <c r="F16" s="18" t="s">
        <v>52</v>
      </c>
      <c r="G16" s="4" t="s">
        <v>40</v>
      </c>
      <c r="H16" s="4" t="s">
        <v>41</v>
      </c>
      <c r="I16" s="12">
        <v>25</v>
      </c>
      <c r="J16" s="12"/>
      <c r="K16" s="12">
        <f t="shared" si="0"/>
        <v>25</v>
      </c>
      <c r="L16" s="14" t="s">
        <v>53</v>
      </c>
      <c r="M16" s="4"/>
      <c r="N16" s="18" t="s">
        <v>54</v>
      </c>
      <c r="O16" s="4" t="s">
        <v>55</v>
      </c>
      <c r="P16" s="4"/>
    </row>
    <row r="17" spans="2:16">
      <c r="B17" s="4">
        <v>9</v>
      </c>
      <c r="C17" s="4">
        <v>21836179</v>
      </c>
      <c r="D17" s="18" t="s">
        <v>56</v>
      </c>
      <c r="E17" s="4" t="s">
        <v>17</v>
      </c>
      <c r="F17" s="18" t="s">
        <v>36</v>
      </c>
      <c r="G17" s="4" t="s">
        <v>19</v>
      </c>
      <c r="H17" s="4" t="s">
        <v>25</v>
      </c>
      <c r="I17" s="12">
        <v>34</v>
      </c>
      <c r="J17" s="12"/>
      <c r="K17" s="12">
        <f t="shared" si="0"/>
        <v>34</v>
      </c>
      <c r="L17" s="14" t="s">
        <v>57</v>
      </c>
      <c r="M17" s="4"/>
      <c r="N17" s="18" t="s">
        <v>58</v>
      </c>
      <c r="O17" s="4">
        <v>955923228</v>
      </c>
      <c r="P17" s="4"/>
    </row>
    <row r="18" spans="2:16">
      <c r="B18" s="4">
        <v>10</v>
      </c>
      <c r="C18" s="4">
        <v>8822479</v>
      </c>
      <c r="D18" s="18" t="s">
        <v>59</v>
      </c>
      <c r="E18" s="4" t="s">
        <v>17</v>
      </c>
      <c r="F18" s="18" t="s">
        <v>60</v>
      </c>
      <c r="G18" s="4" t="s">
        <v>19</v>
      </c>
      <c r="H18" s="4" t="s">
        <v>25</v>
      </c>
      <c r="I18" s="12">
        <v>39</v>
      </c>
      <c r="J18" s="12"/>
      <c r="K18" s="12">
        <f t="shared" si="0"/>
        <v>39</v>
      </c>
      <c r="L18" s="14" t="s">
        <v>61</v>
      </c>
      <c r="M18" s="4"/>
      <c r="N18" s="18" t="s">
        <v>62</v>
      </c>
      <c r="O18" s="4">
        <v>995144584</v>
      </c>
      <c r="P18" s="4"/>
    </row>
    <row r="19" spans="2:16">
      <c r="B19" s="4">
        <v>11</v>
      </c>
      <c r="C19" s="4">
        <v>21416373</v>
      </c>
      <c r="D19" s="18" t="s">
        <v>63</v>
      </c>
      <c r="E19" s="4" t="s">
        <v>17</v>
      </c>
      <c r="F19" s="18" t="s">
        <v>64</v>
      </c>
      <c r="G19" s="4" t="s">
        <v>31</v>
      </c>
      <c r="H19" s="4" t="s">
        <v>32</v>
      </c>
      <c r="I19" s="12">
        <v>30</v>
      </c>
      <c r="J19" s="12"/>
      <c r="K19" s="12">
        <f t="shared" si="0"/>
        <v>30</v>
      </c>
      <c r="L19" s="14" t="s">
        <v>65</v>
      </c>
      <c r="M19" s="4"/>
      <c r="N19" s="18" t="s">
        <v>66</v>
      </c>
      <c r="O19" s="4">
        <v>966713033</v>
      </c>
      <c r="P19" s="4"/>
    </row>
    <row r="20" spans="2:16">
      <c r="B20" s="4">
        <v>12</v>
      </c>
      <c r="C20" s="4">
        <v>15738929</v>
      </c>
      <c r="D20" s="18" t="s">
        <v>67</v>
      </c>
      <c r="E20" s="4" t="s">
        <v>17</v>
      </c>
      <c r="F20" s="18" t="s">
        <v>60</v>
      </c>
      <c r="G20" s="4" t="s">
        <v>68</v>
      </c>
      <c r="H20" s="4" t="s">
        <v>32</v>
      </c>
      <c r="I20" s="12">
        <v>30</v>
      </c>
      <c r="J20" s="12"/>
      <c r="K20" s="12">
        <f t="shared" si="0"/>
        <v>30</v>
      </c>
      <c r="L20" s="14" t="s">
        <v>69</v>
      </c>
      <c r="M20" s="4"/>
      <c r="N20" s="18" t="s">
        <v>70</v>
      </c>
      <c r="O20" s="4" t="s">
        <v>71</v>
      </c>
      <c r="P20" s="4"/>
    </row>
    <row r="21" spans="2:16">
      <c r="B21" s="4">
        <v>13</v>
      </c>
      <c r="C21" s="4">
        <v>70431834</v>
      </c>
      <c r="D21" s="18" t="s">
        <v>72</v>
      </c>
      <c r="E21" s="4" t="s">
        <v>17</v>
      </c>
      <c r="F21" s="18" t="s">
        <v>18</v>
      </c>
      <c r="G21" s="4" t="s">
        <v>19</v>
      </c>
      <c r="H21" s="4" t="s">
        <v>32</v>
      </c>
      <c r="I21" s="12">
        <v>31</v>
      </c>
      <c r="J21" s="12"/>
      <c r="K21" s="12">
        <f t="shared" si="0"/>
        <v>31</v>
      </c>
      <c r="L21" s="14" t="s">
        <v>73</v>
      </c>
      <c r="M21" s="4"/>
      <c r="N21" s="18" t="s">
        <v>74</v>
      </c>
      <c r="O21" s="4">
        <v>945102061</v>
      </c>
      <c r="P21" s="4"/>
    </row>
    <row r="22" spans="2:16">
      <c r="B22" s="4">
        <v>14</v>
      </c>
      <c r="C22" s="4">
        <v>72580385</v>
      </c>
      <c r="D22" s="18" t="s">
        <v>75</v>
      </c>
      <c r="E22" s="4" t="s">
        <v>17</v>
      </c>
      <c r="F22" s="18" t="s">
        <v>18</v>
      </c>
      <c r="G22" s="4" t="s">
        <v>19</v>
      </c>
      <c r="H22" s="4" t="s">
        <v>25</v>
      </c>
      <c r="I22" s="12">
        <v>32</v>
      </c>
      <c r="J22" s="12"/>
      <c r="K22" s="12">
        <f t="shared" si="0"/>
        <v>32</v>
      </c>
      <c r="L22" s="14" t="s">
        <v>76</v>
      </c>
      <c r="M22" s="4"/>
      <c r="N22" s="18" t="s">
        <v>77</v>
      </c>
      <c r="O22" s="4">
        <v>950357206</v>
      </c>
      <c r="P22" s="4"/>
    </row>
    <row r="23" spans="2:16">
      <c r="B23" s="4">
        <v>15</v>
      </c>
      <c r="C23" s="4">
        <v>71819567</v>
      </c>
      <c r="D23" s="18" t="s">
        <v>78</v>
      </c>
      <c r="E23" s="4" t="s">
        <v>17</v>
      </c>
      <c r="F23" s="18" t="s">
        <v>64</v>
      </c>
      <c r="G23" s="4" t="s">
        <v>31</v>
      </c>
      <c r="H23" s="4" t="s">
        <v>25</v>
      </c>
      <c r="I23" s="12">
        <v>37</v>
      </c>
      <c r="J23" s="12"/>
      <c r="K23" s="12">
        <f t="shared" si="0"/>
        <v>37</v>
      </c>
      <c r="L23" s="14" t="s">
        <v>79</v>
      </c>
      <c r="M23" s="4"/>
      <c r="N23" s="18" t="s">
        <v>80</v>
      </c>
      <c r="O23" s="4">
        <v>999558590</v>
      </c>
      <c r="P23" s="4"/>
    </row>
    <row r="24" spans="2:16">
      <c r="B24" s="4">
        <v>16</v>
      </c>
      <c r="C24" s="4">
        <v>42825709</v>
      </c>
      <c r="D24" s="18" t="s">
        <v>81</v>
      </c>
      <c r="E24" s="4" t="s">
        <v>17</v>
      </c>
      <c r="F24" s="18" t="s">
        <v>18</v>
      </c>
      <c r="G24" s="4" t="s">
        <v>40</v>
      </c>
      <c r="H24" s="4" t="s">
        <v>82</v>
      </c>
      <c r="I24" s="12">
        <v>32</v>
      </c>
      <c r="J24" s="12"/>
      <c r="K24" s="12">
        <f t="shared" si="0"/>
        <v>32</v>
      </c>
      <c r="L24" s="14" t="s">
        <v>83</v>
      </c>
      <c r="M24" s="4"/>
      <c r="N24" s="18" t="s">
        <v>84</v>
      </c>
      <c r="O24" s="4">
        <v>964743177</v>
      </c>
      <c r="P24" s="4"/>
    </row>
    <row r="25" spans="2:16">
      <c r="B25" s="4">
        <v>17</v>
      </c>
      <c r="C25" s="4">
        <v>21440811</v>
      </c>
      <c r="D25" s="18" t="s">
        <v>85</v>
      </c>
      <c r="E25" s="4" t="s">
        <v>17</v>
      </c>
      <c r="F25" s="18" t="s">
        <v>64</v>
      </c>
      <c r="G25" s="4" t="s">
        <v>31</v>
      </c>
      <c r="H25" s="4" t="s">
        <v>25</v>
      </c>
      <c r="I25" s="12">
        <v>33</v>
      </c>
      <c r="J25" s="12"/>
      <c r="K25" s="12">
        <f t="shared" si="0"/>
        <v>33</v>
      </c>
      <c r="L25" s="14" t="s">
        <v>86</v>
      </c>
      <c r="M25" s="4"/>
      <c r="N25" s="18" t="s">
        <v>87</v>
      </c>
      <c r="O25" s="4">
        <v>976110252</v>
      </c>
      <c r="P25" s="4"/>
    </row>
    <row r="26" spans="2:16">
      <c r="B26" s="4">
        <v>18</v>
      </c>
      <c r="C26" s="4">
        <v>21567738</v>
      </c>
      <c r="D26" s="18" t="s">
        <v>88</v>
      </c>
      <c r="E26" s="4" t="s">
        <v>17</v>
      </c>
      <c r="F26" s="18" t="s">
        <v>36</v>
      </c>
      <c r="G26" s="4" t="s">
        <v>40</v>
      </c>
      <c r="H26" s="4" t="s">
        <v>32</v>
      </c>
      <c r="I26" s="12">
        <v>32</v>
      </c>
      <c r="J26" s="12"/>
      <c r="K26" s="12">
        <f t="shared" si="0"/>
        <v>32</v>
      </c>
      <c r="L26" s="14" t="s">
        <v>89</v>
      </c>
      <c r="M26" s="4"/>
      <c r="N26" s="18" t="s">
        <v>90</v>
      </c>
      <c r="O26" s="4">
        <v>953734738</v>
      </c>
      <c r="P26" s="4"/>
    </row>
    <row r="27" spans="2:16">
      <c r="B27" s="4">
        <v>19</v>
      </c>
      <c r="C27" s="4">
        <v>21453025</v>
      </c>
      <c r="D27" s="18" t="s">
        <v>91</v>
      </c>
      <c r="E27" s="4" t="s">
        <v>17</v>
      </c>
      <c r="F27" s="18" t="s">
        <v>30</v>
      </c>
      <c r="G27" s="4" t="s">
        <v>92</v>
      </c>
      <c r="H27" s="4" t="s">
        <v>41</v>
      </c>
      <c r="I27" s="12">
        <v>22</v>
      </c>
      <c r="J27" s="12"/>
      <c r="K27" s="12">
        <f t="shared" si="0"/>
        <v>22</v>
      </c>
      <c r="L27" s="14" t="s">
        <v>93</v>
      </c>
      <c r="M27" s="4"/>
      <c r="N27" s="18" t="s">
        <v>94</v>
      </c>
      <c r="O27" s="4">
        <v>955626346</v>
      </c>
      <c r="P27" s="4"/>
    </row>
    <row r="28" spans="2:16">
      <c r="B28" s="4">
        <v>20</v>
      </c>
      <c r="C28" s="4">
        <v>40056370</v>
      </c>
      <c r="D28" s="18" t="s">
        <v>95</v>
      </c>
      <c r="E28" s="4" t="s">
        <v>17</v>
      </c>
      <c r="F28" s="18" t="s">
        <v>18</v>
      </c>
      <c r="G28" s="4" t="s">
        <v>19</v>
      </c>
      <c r="H28" s="4" t="s">
        <v>41</v>
      </c>
      <c r="I28" s="12">
        <v>30</v>
      </c>
      <c r="J28" s="12"/>
      <c r="K28" s="12">
        <f t="shared" si="0"/>
        <v>30</v>
      </c>
      <c r="L28" s="14" t="s">
        <v>96</v>
      </c>
      <c r="M28" s="4"/>
      <c r="N28" s="18" t="s">
        <v>97</v>
      </c>
      <c r="O28" s="4">
        <v>951988838</v>
      </c>
      <c r="P28" s="4"/>
    </row>
    <row r="29" spans="2:16">
      <c r="B29" s="4">
        <v>21</v>
      </c>
      <c r="C29" s="4">
        <v>46475398</v>
      </c>
      <c r="D29" s="18" t="s">
        <v>98</v>
      </c>
      <c r="E29" s="4" t="s">
        <v>17</v>
      </c>
      <c r="F29" s="18" t="s">
        <v>18</v>
      </c>
      <c r="G29" s="4" t="s">
        <v>40</v>
      </c>
      <c r="H29" s="4" t="s">
        <v>20</v>
      </c>
      <c r="I29" s="12">
        <v>24</v>
      </c>
      <c r="J29" s="12"/>
      <c r="K29" s="12">
        <f t="shared" si="0"/>
        <v>24</v>
      </c>
      <c r="L29" s="14" t="s">
        <v>99</v>
      </c>
      <c r="M29" s="4"/>
      <c r="N29" s="18" t="s">
        <v>100</v>
      </c>
      <c r="O29" s="4">
        <v>949369092</v>
      </c>
      <c r="P29" s="4"/>
    </row>
    <row r="30" spans="2:16">
      <c r="B30" s="4">
        <v>22</v>
      </c>
      <c r="C30" s="4">
        <v>21463142</v>
      </c>
      <c r="D30" s="18" t="s">
        <v>101</v>
      </c>
      <c r="E30" s="4" t="s">
        <v>17</v>
      </c>
      <c r="F30" s="18" t="s">
        <v>36</v>
      </c>
      <c r="G30" s="4" t="s">
        <v>19</v>
      </c>
      <c r="H30" s="4" t="s">
        <v>32</v>
      </c>
      <c r="I30" s="12">
        <v>38</v>
      </c>
      <c r="J30" s="12"/>
      <c r="K30" s="12">
        <f t="shared" si="0"/>
        <v>38</v>
      </c>
      <c r="L30" s="14" t="s">
        <v>102</v>
      </c>
      <c r="M30" s="4"/>
      <c r="N30" s="18" t="s">
        <v>103</v>
      </c>
      <c r="O30" s="4">
        <v>968974470</v>
      </c>
      <c r="P30" s="4"/>
    </row>
    <row r="31" spans="2:16">
      <c r="B31" s="4">
        <v>23</v>
      </c>
      <c r="C31" s="4">
        <v>41845220</v>
      </c>
      <c r="D31" s="18" t="s">
        <v>104</v>
      </c>
      <c r="E31" s="4" t="s">
        <v>17</v>
      </c>
      <c r="F31" s="18" t="s">
        <v>24</v>
      </c>
      <c r="G31" s="4" t="s">
        <v>19</v>
      </c>
      <c r="H31" s="4" t="s">
        <v>32</v>
      </c>
      <c r="I31" s="12">
        <v>35</v>
      </c>
      <c r="J31" s="12"/>
      <c r="K31" s="12">
        <f t="shared" si="0"/>
        <v>35</v>
      </c>
      <c r="L31" s="14" t="s">
        <v>42</v>
      </c>
      <c r="M31" s="4"/>
      <c r="N31" s="18" t="s">
        <v>105</v>
      </c>
      <c r="O31" s="4">
        <v>999642883</v>
      </c>
      <c r="P31" s="4"/>
    </row>
    <row r="32" spans="2:16">
      <c r="B32" s="4">
        <v>24</v>
      </c>
      <c r="C32" s="4">
        <v>21418654</v>
      </c>
      <c r="D32" s="18" t="s">
        <v>106</v>
      </c>
      <c r="E32" s="4" t="s">
        <v>17</v>
      </c>
      <c r="F32" s="18" t="s">
        <v>18</v>
      </c>
      <c r="G32" s="4" t="s">
        <v>40</v>
      </c>
      <c r="H32" s="4" t="s">
        <v>41</v>
      </c>
      <c r="I32" s="12">
        <v>28</v>
      </c>
      <c r="J32" s="12"/>
      <c r="K32" s="12">
        <f t="shared" si="0"/>
        <v>28</v>
      </c>
      <c r="L32" s="14" t="s">
        <v>107</v>
      </c>
      <c r="M32" s="4"/>
      <c r="N32" s="18" t="s">
        <v>108</v>
      </c>
      <c r="O32" s="4">
        <v>947827681</v>
      </c>
      <c r="P32" s="4"/>
    </row>
    <row r="33" spans="2:16">
      <c r="B33" s="4">
        <v>25</v>
      </c>
      <c r="C33" s="4">
        <v>45440179</v>
      </c>
      <c r="D33" s="18" t="s">
        <v>109</v>
      </c>
      <c r="E33" s="4" t="s">
        <v>17</v>
      </c>
      <c r="F33" s="18" t="s">
        <v>18</v>
      </c>
      <c r="G33" s="4" t="s">
        <v>40</v>
      </c>
      <c r="H33" s="4" t="s">
        <v>25</v>
      </c>
      <c r="I33" s="12">
        <v>32</v>
      </c>
      <c r="J33" s="12"/>
      <c r="K33" s="12">
        <f t="shared" si="0"/>
        <v>32</v>
      </c>
      <c r="L33" s="14" t="s">
        <v>110</v>
      </c>
      <c r="M33" s="4"/>
      <c r="N33" s="18" t="s">
        <v>111</v>
      </c>
      <c r="O33" s="4" t="s">
        <v>112</v>
      </c>
      <c r="P33" s="4"/>
    </row>
    <row r="34" spans="2:16">
      <c r="B34" s="4">
        <v>26</v>
      </c>
      <c r="C34" s="4">
        <v>32111220</v>
      </c>
      <c r="D34" s="18" t="s">
        <v>113</v>
      </c>
      <c r="E34" s="4" t="s">
        <v>17</v>
      </c>
      <c r="F34" s="18" t="s">
        <v>60</v>
      </c>
      <c r="G34" s="4" t="s">
        <v>68</v>
      </c>
      <c r="H34" s="4" t="s">
        <v>32</v>
      </c>
      <c r="I34" s="12">
        <v>37</v>
      </c>
      <c r="J34" s="12"/>
      <c r="K34" s="12">
        <f t="shared" si="0"/>
        <v>37</v>
      </c>
      <c r="L34" s="14" t="s">
        <v>114</v>
      </c>
      <c r="M34" s="4"/>
      <c r="N34" s="18" t="s">
        <v>115</v>
      </c>
      <c r="O34" s="4">
        <v>966799630</v>
      </c>
      <c r="P34" s="4"/>
    </row>
    <row r="35" spans="2:16">
      <c r="B35" s="4">
        <v>27</v>
      </c>
      <c r="C35" s="4">
        <v>21426247</v>
      </c>
      <c r="D35" s="18" t="s">
        <v>116</v>
      </c>
      <c r="E35" s="4" t="s">
        <v>17</v>
      </c>
      <c r="F35" s="18" t="s">
        <v>30</v>
      </c>
      <c r="G35" s="4" t="s">
        <v>92</v>
      </c>
      <c r="H35" s="4" t="s">
        <v>32</v>
      </c>
      <c r="I35" s="12">
        <v>39</v>
      </c>
      <c r="J35" s="12"/>
      <c r="K35" s="12">
        <f t="shared" si="0"/>
        <v>39</v>
      </c>
      <c r="L35" s="14" t="s">
        <v>89</v>
      </c>
      <c r="M35" s="4"/>
      <c r="N35" s="18" t="s">
        <v>117</v>
      </c>
      <c r="O35" s="4" t="s">
        <v>118</v>
      </c>
      <c r="P35" s="4"/>
    </row>
    <row r="36" spans="2:16">
      <c r="B36" s="4">
        <v>28</v>
      </c>
      <c r="C36" s="4">
        <v>47849946</v>
      </c>
      <c r="D36" s="18" t="s">
        <v>119</v>
      </c>
      <c r="E36" s="4" t="s">
        <v>17</v>
      </c>
      <c r="F36" s="18" t="s">
        <v>120</v>
      </c>
      <c r="G36" s="4" t="s">
        <v>92</v>
      </c>
      <c r="H36" s="4" t="s">
        <v>25</v>
      </c>
      <c r="I36" s="12">
        <v>32</v>
      </c>
      <c r="J36" s="12"/>
      <c r="K36" s="12">
        <f t="shared" si="0"/>
        <v>32</v>
      </c>
      <c r="L36" s="14" t="s">
        <v>121</v>
      </c>
      <c r="M36" s="4"/>
      <c r="N36" s="18" t="s">
        <v>122</v>
      </c>
      <c r="O36" s="4" t="s">
        <v>123</v>
      </c>
      <c r="P36" s="4"/>
    </row>
    <row r="37" spans="2:16">
      <c r="B37" s="4">
        <v>29</v>
      </c>
      <c r="C37" s="4">
        <v>21533626</v>
      </c>
      <c r="D37" s="18" t="s">
        <v>124</v>
      </c>
      <c r="E37" s="4" t="s">
        <v>17</v>
      </c>
      <c r="F37" s="18" t="s">
        <v>18</v>
      </c>
      <c r="G37" s="4" t="s">
        <v>19</v>
      </c>
      <c r="H37" s="4" t="s">
        <v>41</v>
      </c>
      <c r="I37" s="12">
        <v>33</v>
      </c>
      <c r="J37" s="12"/>
      <c r="K37" s="12">
        <f t="shared" si="0"/>
        <v>33</v>
      </c>
      <c r="L37" s="14" t="s">
        <v>125</v>
      </c>
      <c r="M37" s="4"/>
      <c r="N37" s="18" t="s">
        <v>126</v>
      </c>
      <c r="O37" s="4">
        <v>942659212</v>
      </c>
      <c r="P37" s="4"/>
    </row>
    <row r="38" spans="2:16">
      <c r="B38" s="4">
        <v>30</v>
      </c>
      <c r="C38" s="4">
        <v>73039674</v>
      </c>
      <c r="D38" s="18" t="s">
        <v>127</v>
      </c>
      <c r="E38" s="4" t="s">
        <v>17</v>
      </c>
      <c r="F38" s="18" t="s">
        <v>30</v>
      </c>
      <c r="G38" s="4" t="s">
        <v>31</v>
      </c>
      <c r="H38" s="4" t="s">
        <v>20</v>
      </c>
      <c r="I38" s="12">
        <v>28</v>
      </c>
      <c r="J38" s="12"/>
      <c r="K38" s="12">
        <f t="shared" si="0"/>
        <v>28</v>
      </c>
      <c r="L38" s="14" t="s">
        <v>128</v>
      </c>
      <c r="M38" s="4"/>
      <c r="N38" s="18" t="s">
        <v>129</v>
      </c>
      <c r="O38" s="4">
        <v>951794771</v>
      </c>
      <c r="P38" s="4"/>
    </row>
    <row r="39" spans="2:16">
      <c r="B39" s="4">
        <v>31</v>
      </c>
      <c r="C39" s="4">
        <v>40689619</v>
      </c>
      <c r="D39" s="18" t="s">
        <v>130</v>
      </c>
      <c r="E39" s="4" t="s">
        <v>17</v>
      </c>
      <c r="F39" s="18" t="s">
        <v>52</v>
      </c>
      <c r="G39" s="4" t="s">
        <v>40</v>
      </c>
      <c r="H39" s="4" t="s">
        <v>20</v>
      </c>
      <c r="I39" s="12">
        <v>39</v>
      </c>
      <c r="J39" s="12"/>
      <c r="K39" s="12">
        <f t="shared" si="0"/>
        <v>39</v>
      </c>
      <c r="L39" s="14" t="s">
        <v>131</v>
      </c>
      <c r="M39" s="4"/>
      <c r="N39" s="18" t="s">
        <v>132</v>
      </c>
      <c r="O39" s="4">
        <v>991041688</v>
      </c>
      <c r="P39" s="4"/>
    </row>
    <row r="40" spans="2:16">
      <c r="B40" s="4">
        <v>32</v>
      </c>
      <c r="C40" s="4">
        <v>15586796</v>
      </c>
      <c r="D40" s="18" t="s">
        <v>133</v>
      </c>
      <c r="E40" s="4" t="s">
        <v>17</v>
      </c>
      <c r="F40" s="18" t="s">
        <v>60</v>
      </c>
      <c r="G40" s="4" t="s">
        <v>68</v>
      </c>
      <c r="H40" s="4" t="s">
        <v>32</v>
      </c>
      <c r="I40" s="12">
        <v>32</v>
      </c>
      <c r="J40" s="12"/>
      <c r="K40" s="12">
        <f t="shared" si="0"/>
        <v>32</v>
      </c>
      <c r="L40" s="14" t="s">
        <v>134</v>
      </c>
      <c r="M40" s="4"/>
      <c r="N40" s="18" t="s">
        <v>135</v>
      </c>
      <c r="O40" s="4">
        <v>993456461</v>
      </c>
      <c r="P40" s="4"/>
    </row>
    <row r="41" spans="2:16">
      <c r="B41" s="4">
        <v>34</v>
      </c>
      <c r="C41" s="4">
        <v>41134475</v>
      </c>
      <c r="D41" s="18" t="s">
        <v>136</v>
      </c>
      <c r="E41" s="4" t="s">
        <v>17</v>
      </c>
      <c r="F41" s="18" t="s">
        <v>30</v>
      </c>
      <c r="G41" s="4" t="s">
        <v>31</v>
      </c>
      <c r="H41" s="4" t="s">
        <v>41</v>
      </c>
      <c r="I41" s="12">
        <v>36</v>
      </c>
      <c r="J41" s="12"/>
      <c r="K41" s="12">
        <f t="shared" ref="K41:K72" si="1">+I41+J41</f>
        <v>36</v>
      </c>
      <c r="L41" s="14" t="s">
        <v>137</v>
      </c>
      <c r="M41" s="4"/>
      <c r="N41" s="18" t="s">
        <v>138</v>
      </c>
      <c r="O41" s="4">
        <v>991602985</v>
      </c>
      <c r="P41" s="4"/>
    </row>
    <row r="42" spans="2:16">
      <c r="B42" s="4">
        <v>35</v>
      </c>
      <c r="C42" s="4">
        <v>72254013</v>
      </c>
      <c r="D42" s="18" t="s">
        <v>139</v>
      </c>
      <c r="E42" s="4" t="s">
        <v>17</v>
      </c>
      <c r="F42" s="18" t="s">
        <v>18</v>
      </c>
      <c r="G42" s="4" t="s">
        <v>19</v>
      </c>
      <c r="H42" s="4" t="s">
        <v>20</v>
      </c>
      <c r="I42" s="12">
        <v>40</v>
      </c>
      <c r="J42" s="12"/>
      <c r="K42" s="12">
        <f t="shared" si="1"/>
        <v>40</v>
      </c>
      <c r="L42" s="14" t="s">
        <v>140</v>
      </c>
      <c r="M42" s="4"/>
      <c r="N42" s="18" t="s">
        <v>141</v>
      </c>
      <c r="O42" s="4">
        <v>925777177</v>
      </c>
      <c r="P42" s="4"/>
    </row>
    <row r="43" spans="2:16">
      <c r="B43" s="4">
        <v>36</v>
      </c>
      <c r="C43" s="4">
        <v>42684701</v>
      </c>
      <c r="D43" s="18" t="s">
        <v>142</v>
      </c>
      <c r="E43" s="4" t="s">
        <v>17</v>
      </c>
      <c r="F43" s="18" t="s">
        <v>18</v>
      </c>
      <c r="G43" s="4" t="s">
        <v>40</v>
      </c>
      <c r="H43" s="4" t="s">
        <v>41</v>
      </c>
      <c r="I43" s="12">
        <v>26</v>
      </c>
      <c r="J43" s="12"/>
      <c r="K43" s="12">
        <f t="shared" si="1"/>
        <v>26</v>
      </c>
      <c r="L43" s="14" t="s">
        <v>143</v>
      </c>
      <c r="M43" s="4"/>
      <c r="N43" s="18" t="s">
        <v>144</v>
      </c>
      <c r="O43" s="4">
        <v>948981510</v>
      </c>
      <c r="P43" s="4"/>
    </row>
    <row r="44" spans="2:16">
      <c r="B44" s="4">
        <v>37</v>
      </c>
      <c r="C44" s="4">
        <v>21529591</v>
      </c>
      <c r="D44" s="18" t="s">
        <v>145</v>
      </c>
      <c r="E44" s="4" t="s">
        <v>17</v>
      </c>
      <c r="F44" s="18" t="s">
        <v>18</v>
      </c>
      <c r="G44" s="4" t="s">
        <v>40</v>
      </c>
      <c r="H44" s="4" t="s">
        <v>32</v>
      </c>
      <c r="I44" s="12">
        <v>32</v>
      </c>
      <c r="J44" s="12"/>
      <c r="K44" s="12">
        <f t="shared" si="1"/>
        <v>32</v>
      </c>
      <c r="L44" s="14" t="s">
        <v>146</v>
      </c>
      <c r="M44" s="4"/>
      <c r="N44" s="18" t="s">
        <v>147</v>
      </c>
      <c r="O44" s="4">
        <v>955601089</v>
      </c>
      <c r="P44" s="4"/>
    </row>
    <row r="45" spans="2:16">
      <c r="B45" s="4">
        <v>38</v>
      </c>
      <c r="C45" s="4">
        <v>6919367</v>
      </c>
      <c r="D45" s="18" t="s">
        <v>148</v>
      </c>
      <c r="E45" s="4" t="s">
        <v>17</v>
      </c>
      <c r="F45" s="18" t="s">
        <v>36</v>
      </c>
      <c r="G45" s="4" t="s">
        <v>19</v>
      </c>
      <c r="H45" s="4" t="s">
        <v>32</v>
      </c>
      <c r="I45" s="12">
        <v>36</v>
      </c>
      <c r="J45" s="12"/>
      <c r="K45" s="12">
        <f t="shared" si="1"/>
        <v>36</v>
      </c>
      <c r="L45" s="14" t="s">
        <v>149</v>
      </c>
      <c r="M45" s="4"/>
      <c r="N45" s="18" t="s">
        <v>150</v>
      </c>
      <c r="O45" s="4">
        <v>956217730</v>
      </c>
      <c r="P45" s="4"/>
    </row>
    <row r="46" spans="2:16">
      <c r="B46" s="4">
        <v>39</v>
      </c>
      <c r="C46" s="4">
        <v>21534061</v>
      </c>
      <c r="D46" s="18" t="s">
        <v>151</v>
      </c>
      <c r="E46" s="4" t="s">
        <v>17</v>
      </c>
      <c r="F46" s="18" t="s">
        <v>30</v>
      </c>
      <c r="G46" s="4" t="s">
        <v>31</v>
      </c>
      <c r="H46" s="4" t="s">
        <v>20</v>
      </c>
      <c r="I46" s="12">
        <v>26</v>
      </c>
      <c r="J46" s="12"/>
      <c r="K46" s="12">
        <f t="shared" si="1"/>
        <v>26</v>
      </c>
      <c r="L46" s="14" t="s">
        <v>152</v>
      </c>
      <c r="M46" s="4"/>
      <c r="N46" s="18" t="s">
        <v>153</v>
      </c>
      <c r="O46" s="4">
        <v>961984611</v>
      </c>
      <c r="P46" s="4"/>
    </row>
    <row r="47" spans="2:16">
      <c r="B47" s="4">
        <v>40</v>
      </c>
      <c r="C47" s="4">
        <v>70324505</v>
      </c>
      <c r="D47" s="18" t="s">
        <v>154</v>
      </c>
      <c r="E47" s="4" t="s">
        <v>17</v>
      </c>
      <c r="F47" s="18" t="s">
        <v>18</v>
      </c>
      <c r="G47" s="4" t="s">
        <v>19</v>
      </c>
      <c r="H47" s="4" t="s">
        <v>32</v>
      </c>
      <c r="I47" s="12">
        <v>8</v>
      </c>
      <c r="J47" s="12"/>
      <c r="K47" s="12">
        <f t="shared" si="1"/>
        <v>8</v>
      </c>
      <c r="L47" s="14" t="s">
        <v>155</v>
      </c>
      <c r="M47" s="4"/>
      <c r="N47" s="18" t="s">
        <v>156</v>
      </c>
      <c r="O47" s="4" t="s">
        <v>157</v>
      </c>
      <c r="P47" s="4"/>
    </row>
    <row r="48" spans="2:16">
      <c r="B48" s="4">
        <v>41</v>
      </c>
      <c r="C48" s="4">
        <v>43359675</v>
      </c>
      <c r="D48" s="18" t="s">
        <v>158</v>
      </c>
      <c r="E48" s="4" t="s">
        <v>17</v>
      </c>
      <c r="F48" s="18" t="s">
        <v>18</v>
      </c>
      <c r="G48" s="4" t="s">
        <v>19</v>
      </c>
      <c r="H48" s="4" t="s">
        <v>25</v>
      </c>
      <c r="I48" s="12">
        <v>32</v>
      </c>
      <c r="J48" s="12"/>
      <c r="K48" s="12">
        <f t="shared" si="1"/>
        <v>32</v>
      </c>
      <c r="L48" s="14" t="s">
        <v>159</v>
      </c>
      <c r="M48" s="4"/>
      <c r="N48" s="18" t="s">
        <v>160</v>
      </c>
      <c r="O48" s="4">
        <v>966503511</v>
      </c>
      <c r="P48" s="4"/>
    </row>
    <row r="49" spans="2:16">
      <c r="B49" s="4">
        <v>42</v>
      </c>
      <c r="C49" s="4">
        <v>43757708</v>
      </c>
      <c r="D49" s="18" t="s">
        <v>161</v>
      </c>
      <c r="E49" s="4" t="s">
        <v>17</v>
      </c>
      <c r="F49" s="18" t="s">
        <v>36</v>
      </c>
      <c r="G49" s="4" t="s">
        <v>40</v>
      </c>
      <c r="H49" s="4" t="s">
        <v>25</v>
      </c>
      <c r="I49" s="12">
        <v>24</v>
      </c>
      <c r="J49" s="12"/>
      <c r="K49" s="12">
        <f t="shared" si="1"/>
        <v>24</v>
      </c>
      <c r="L49" s="14" t="s">
        <v>162</v>
      </c>
      <c r="M49" s="4"/>
      <c r="N49" s="18" t="s">
        <v>163</v>
      </c>
      <c r="O49" s="4">
        <v>956425117</v>
      </c>
      <c r="P49" s="4"/>
    </row>
    <row r="50" spans="2:16">
      <c r="B50" s="4">
        <v>43</v>
      </c>
      <c r="C50" s="4">
        <v>45228093</v>
      </c>
      <c r="D50" s="18" t="s">
        <v>164</v>
      </c>
      <c r="E50" s="4" t="s">
        <v>17</v>
      </c>
      <c r="F50" s="18" t="s">
        <v>18</v>
      </c>
      <c r="G50" s="4" t="s">
        <v>40</v>
      </c>
      <c r="H50" s="4" t="s">
        <v>25</v>
      </c>
      <c r="I50" s="12">
        <v>26</v>
      </c>
      <c r="J50" s="12"/>
      <c r="K50" s="12">
        <f t="shared" si="1"/>
        <v>26</v>
      </c>
      <c r="L50" s="14" t="s">
        <v>165</v>
      </c>
      <c r="M50" s="4"/>
      <c r="N50" s="18" t="s">
        <v>166</v>
      </c>
      <c r="O50" s="4">
        <v>944913505</v>
      </c>
      <c r="P50" s="4"/>
    </row>
    <row r="51" spans="2:16">
      <c r="B51" s="4">
        <v>44</v>
      </c>
      <c r="C51" s="4">
        <v>70306751</v>
      </c>
      <c r="D51" s="18" t="s">
        <v>167</v>
      </c>
      <c r="E51" s="4" t="s">
        <v>17</v>
      </c>
      <c r="F51" s="18" t="s">
        <v>64</v>
      </c>
      <c r="G51" s="4" t="s">
        <v>31</v>
      </c>
      <c r="H51" s="4" t="s">
        <v>20</v>
      </c>
      <c r="I51" s="12">
        <v>13</v>
      </c>
      <c r="J51" s="12"/>
      <c r="K51" s="12">
        <f t="shared" si="1"/>
        <v>13</v>
      </c>
      <c r="L51" s="14" t="s">
        <v>168</v>
      </c>
      <c r="M51" s="4"/>
      <c r="N51" s="18" t="s">
        <v>169</v>
      </c>
      <c r="O51" s="4">
        <v>961820932</v>
      </c>
      <c r="P51" s="4"/>
    </row>
    <row r="52" spans="2:16">
      <c r="B52" s="4">
        <v>45</v>
      </c>
      <c r="C52" s="4">
        <v>21524698</v>
      </c>
      <c r="D52" s="18" t="s">
        <v>170</v>
      </c>
      <c r="E52" s="4" t="s">
        <v>17</v>
      </c>
      <c r="F52" s="18" t="s">
        <v>18</v>
      </c>
      <c r="G52" s="4" t="s">
        <v>40</v>
      </c>
      <c r="H52" s="4" t="s">
        <v>41</v>
      </c>
      <c r="I52" s="12">
        <v>31</v>
      </c>
      <c r="J52" s="12"/>
      <c r="K52" s="12">
        <f t="shared" si="1"/>
        <v>31</v>
      </c>
      <c r="L52" s="14" t="s">
        <v>171</v>
      </c>
      <c r="M52" s="4"/>
      <c r="N52" s="18" t="s">
        <v>172</v>
      </c>
      <c r="O52" s="4">
        <v>980059833</v>
      </c>
      <c r="P52" s="4"/>
    </row>
    <row r="53" spans="2:16">
      <c r="B53" s="4">
        <v>46</v>
      </c>
      <c r="C53" s="4">
        <v>21461803</v>
      </c>
      <c r="D53" s="18" t="s">
        <v>173</v>
      </c>
      <c r="E53" s="4" t="s">
        <v>17</v>
      </c>
      <c r="F53" s="18" t="s">
        <v>18</v>
      </c>
      <c r="G53" s="4" t="s">
        <v>19</v>
      </c>
      <c r="H53" s="4" t="s">
        <v>25</v>
      </c>
      <c r="I53" s="12">
        <v>37</v>
      </c>
      <c r="J53" s="12"/>
      <c r="K53" s="12">
        <f t="shared" si="1"/>
        <v>37</v>
      </c>
      <c r="L53" s="14" t="s">
        <v>174</v>
      </c>
      <c r="M53" s="4"/>
      <c r="N53" s="18" t="s">
        <v>175</v>
      </c>
      <c r="O53" s="4">
        <v>956684292</v>
      </c>
      <c r="P53" s="4"/>
    </row>
    <row r="54" spans="2:16">
      <c r="B54" s="4">
        <v>47</v>
      </c>
      <c r="C54" s="4">
        <v>70302657</v>
      </c>
      <c r="D54" s="18" t="s">
        <v>176</v>
      </c>
      <c r="E54" s="4" t="s">
        <v>17</v>
      </c>
      <c r="F54" s="18" t="s">
        <v>177</v>
      </c>
      <c r="G54" s="4" t="s">
        <v>19</v>
      </c>
      <c r="H54" s="4" t="s">
        <v>32</v>
      </c>
      <c r="I54" s="12">
        <v>32</v>
      </c>
      <c r="J54" s="12"/>
      <c r="K54" s="12">
        <f t="shared" si="1"/>
        <v>32</v>
      </c>
      <c r="L54" s="14" t="s">
        <v>178</v>
      </c>
      <c r="M54" s="4"/>
      <c r="N54" s="18" t="s">
        <v>179</v>
      </c>
      <c r="O54" s="4">
        <v>950156534</v>
      </c>
      <c r="P54" s="4"/>
    </row>
    <row r="55" spans="2:16">
      <c r="B55" s="4">
        <v>48</v>
      </c>
      <c r="C55" s="4">
        <v>46200886</v>
      </c>
      <c r="D55" s="18" t="s">
        <v>180</v>
      </c>
      <c r="E55" s="4" t="s">
        <v>17</v>
      </c>
      <c r="F55" s="18" t="s">
        <v>36</v>
      </c>
      <c r="G55" s="4" t="s">
        <v>40</v>
      </c>
      <c r="H55" s="4" t="s">
        <v>41</v>
      </c>
      <c r="I55" s="12">
        <v>32</v>
      </c>
      <c r="J55" s="12"/>
      <c r="K55" s="12">
        <f t="shared" si="1"/>
        <v>32</v>
      </c>
      <c r="L55" s="14" t="s">
        <v>181</v>
      </c>
      <c r="M55" s="4"/>
      <c r="N55" s="18" t="s">
        <v>182</v>
      </c>
      <c r="O55" s="4">
        <v>956865364</v>
      </c>
      <c r="P55" s="4"/>
    </row>
    <row r="56" spans="2:16">
      <c r="B56" s="4">
        <v>49</v>
      </c>
      <c r="C56" s="4">
        <v>21815710</v>
      </c>
      <c r="D56" s="18" t="s">
        <v>183</v>
      </c>
      <c r="E56" s="4" t="s">
        <v>17</v>
      </c>
      <c r="F56" s="18" t="s">
        <v>52</v>
      </c>
      <c r="G56" s="4" t="s">
        <v>19</v>
      </c>
      <c r="H56" s="4" t="s">
        <v>25</v>
      </c>
      <c r="I56" s="12">
        <v>33</v>
      </c>
      <c r="J56" s="12"/>
      <c r="K56" s="12">
        <f t="shared" si="1"/>
        <v>33</v>
      </c>
      <c r="L56" s="14" t="s">
        <v>184</v>
      </c>
      <c r="M56" s="4"/>
      <c r="N56" s="18" t="s">
        <v>185</v>
      </c>
      <c r="O56" s="4">
        <v>956594972</v>
      </c>
      <c r="P56" s="4"/>
    </row>
    <row r="57" spans="2:16">
      <c r="B57" s="4">
        <v>50</v>
      </c>
      <c r="C57" s="4">
        <v>10508584</v>
      </c>
      <c r="D57" s="18" t="s">
        <v>186</v>
      </c>
      <c r="E57" s="4" t="s">
        <v>17</v>
      </c>
      <c r="F57" s="18" t="s">
        <v>18</v>
      </c>
      <c r="G57" s="4" t="s">
        <v>19</v>
      </c>
      <c r="H57" s="4" t="s">
        <v>41</v>
      </c>
      <c r="I57" s="12">
        <v>31</v>
      </c>
      <c r="J57" s="12"/>
      <c r="K57" s="12">
        <f t="shared" si="1"/>
        <v>31</v>
      </c>
      <c r="L57" s="14" t="s">
        <v>187</v>
      </c>
      <c r="M57" s="4"/>
      <c r="N57" s="18" t="s">
        <v>188</v>
      </c>
      <c r="O57" s="4">
        <v>999111489</v>
      </c>
      <c r="P57" s="4"/>
    </row>
    <row r="58" spans="2:16">
      <c r="B58" s="4">
        <v>51</v>
      </c>
      <c r="C58" s="4">
        <v>42573866</v>
      </c>
      <c r="D58" s="18" t="s">
        <v>189</v>
      </c>
      <c r="E58" s="4" t="s">
        <v>17</v>
      </c>
      <c r="F58" s="18" t="s">
        <v>24</v>
      </c>
      <c r="G58" s="4" t="s">
        <v>19</v>
      </c>
      <c r="H58" s="4" t="s">
        <v>32</v>
      </c>
      <c r="I58" s="12">
        <v>8</v>
      </c>
      <c r="J58" s="12"/>
      <c r="K58" s="12">
        <f t="shared" si="1"/>
        <v>8</v>
      </c>
      <c r="L58" s="14" t="s">
        <v>190</v>
      </c>
      <c r="M58" s="4"/>
      <c r="N58" s="18" t="s">
        <v>191</v>
      </c>
      <c r="O58" s="4" t="s">
        <v>192</v>
      </c>
      <c r="P58" s="4"/>
    </row>
    <row r="59" spans="2:16">
      <c r="B59" s="4">
        <v>52</v>
      </c>
      <c r="C59" s="4">
        <v>9916820</v>
      </c>
      <c r="D59" s="18" t="s">
        <v>193</v>
      </c>
      <c r="E59" s="4" t="s">
        <v>17</v>
      </c>
      <c r="F59" s="18" t="s">
        <v>36</v>
      </c>
      <c r="G59" s="4" t="s">
        <v>19</v>
      </c>
      <c r="H59" s="4" t="s">
        <v>25</v>
      </c>
      <c r="I59" s="12">
        <v>26</v>
      </c>
      <c r="J59" s="12"/>
      <c r="K59" s="12">
        <f t="shared" si="1"/>
        <v>26</v>
      </c>
      <c r="L59" s="14" t="s">
        <v>194</v>
      </c>
      <c r="M59" s="4"/>
      <c r="N59" s="18" t="s">
        <v>195</v>
      </c>
      <c r="O59" s="4">
        <v>950863543</v>
      </c>
      <c r="P59" s="4"/>
    </row>
    <row r="60" spans="2:16">
      <c r="B60" s="4">
        <v>53</v>
      </c>
      <c r="C60" s="4">
        <v>21556265</v>
      </c>
      <c r="D60" s="18" t="s">
        <v>196</v>
      </c>
      <c r="E60" s="4" t="s">
        <v>17</v>
      </c>
      <c r="F60" s="18" t="s">
        <v>18</v>
      </c>
      <c r="G60" s="4" t="s">
        <v>40</v>
      </c>
      <c r="H60" s="4" t="s">
        <v>41</v>
      </c>
      <c r="I60" s="12">
        <v>30</v>
      </c>
      <c r="J60" s="12"/>
      <c r="K60" s="12">
        <f t="shared" si="1"/>
        <v>30</v>
      </c>
      <c r="L60" s="14" t="s">
        <v>197</v>
      </c>
      <c r="M60" s="4"/>
      <c r="N60" s="18" t="s">
        <v>198</v>
      </c>
      <c r="O60" s="4">
        <v>964506326</v>
      </c>
      <c r="P60" s="4"/>
    </row>
    <row r="61" spans="2:16">
      <c r="B61" s="4">
        <v>54</v>
      </c>
      <c r="C61" s="4">
        <v>41347751</v>
      </c>
      <c r="D61" s="18" t="s">
        <v>199</v>
      </c>
      <c r="E61" s="4" t="s">
        <v>17</v>
      </c>
      <c r="F61" s="18" t="s">
        <v>64</v>
      </c>
      <c r="G61" s="4" t="s">
        <v>31</v>
      </c>
      <c r="H61" s="4" t="s">
        <v>32</v>
      </c>
      <c r="I61" s="12">
        <v>30</v>
      </c>
      <c r="J61" s="12"/>
      <c r="K61" s="12">
        <f t="shared" si="1"/>
        <v>30</v>
      </c>
      <c r="L61" s="14" t="s">
        <v>200</v>
      </c>
      <c r="M61" s="4"/>
      <c r="N61" s="18" t="s">
        <v>201</v>
      </c>
      <c r="O61" s="4">
        <v>956001898</v>
      </c>
      <c r="P61" s="4"/>
    </row>
    <row r="62" spans="2:16">
      <c r="B62" s="4">
        <v>55</v>
      </c>
      <c r="C62" s="4">
        <v>21867757</v>
      </c>
      <c r="D62" s="18" t="s">
        <v>202</v>
      </c>
      <c r="E62" s="4" t="s">
        <v>17</v>
      </c>
      <c r="F62" s="18" t="s">
        <v>18</v>
      </c>
      <c r="G62" s="4" t="s">
        <v>19</v>
      </c>
      <c r="H62" s="4" t="s">
        <v>32</v>
      </c>
      <c r="I62" s="12">
        <v>30</v>
      </c>
      <c r="J62" s="12"/>
      <c r="K62" s="12">
        <f t="shared" si="1"/>
        <v>30</v>
      </c>
      <c r="L62" s="14" t="s">
        <v>203</v>
      </c>
      <c r="M62" s="4"/>
      <c r="N62" s="18" t="s">
        <v>204</v>
      </c>
      <c r="O62" s="4">
        <v>990678453</v>
      </c>
      <c r="P62" s="4"/>
    </row>
    <row r="63" spans="2:16">
      <c r="B63" s="4">
        <v>56</v>
      </c>
      <c r="C63" s="4">
        <v>40804375</v>
      </c>
      <c r="D63" s="18" t="s">
        <v>205</v>
      </c>
      <c r="E63" s="4" t="s">
        <v>17</v>
      </c>
      <c r="F63" s="18" t="s">
        <v>206</v>
      </c>
      <c r="G63" s="4" t="s">
        <v>92</v>
      </c>
      <c r="H63" s="4" t="s">
        <v>25</v>
      </c>
      <c r="I63" s="12">
        <v>33</v>
      </c>
      <c r="J63" s="12"/>
      <c r="K63" s="12">
        <f t="shared" si="1"/>
        <v>33</v>
      </c>
      <c r="L63" s="14" t="s">
        <v>207</v>
      </c>
      <c r="M63" s="4"/>
      <c r="N63" s="18" t="s">
        <v>208</v>
      </c>
      <c r="O63" s="4">
        <v>956956984</v>
      </c>
      <c r="P63" s="4"/>
    </row>
    <row r="64" spans="2:16">
      <c r="B64" s="4">
        <v>57</v>
      </c>
      <c r="C64" s="4">
        <v>21404829</v>
      </c>
      <c r="D64" s="18" t="s">
        <v>209</v>
      </c>
      <c r="E64" s="4" t="s">
        <v>17</v>
      </c>
      <c r="F64" s="18" t="s">
        <v>18</v>
      </c>
      <c r="G64" s="4" t="s">
        <v>40</v>
      </c>
      <c r="H64" s="4" t="s">
        <v>20</v>
      </c>
      <c r="I64" s="12">
        <v>40</v>
      </c>
      <c r="J64" s="12"/>
      <c r="K64" s="12">
        <f t="shared" si="1"/>
        <v>40</v>
      </c>
      <c r="L64" s="14" t="s">
        <v>210</v>
      </c>
      <c r="M64" s="4"/>
      <c r="N64" s="18" t="s">
        <v>211</v>
      </c>
      <c r="O64" s="4">
        <v>993718503</v>
      </c>
      <c r="P64" s="4"/>
    </row>
    <row r="65" spans="2:16">
      <c r="B65" s="4">
        <v>58</v>
      </c>
      <c r="C65" s="4">
        <v>21815632</v>
      </c>
      <c r="D65" s="18" t="s">
        <v>212</v>
      </c>
      <c r="E65" s="4" t="s">
        <v>17</v>
      </c>
      <c r="F65" s="18" t="s">
        <v>18</v>
      </c>
      <c r="G65" s="4" t="s">
        <v>19</v>
      </c>
      <c r="H65" s="4" t="s">
        <v>25</v>
      </c>
      <c r="I65" s="12">
        <v>31</v>
      </c>
      <c r="J65" s="12"/>
      <c r="K65" s="12">
        <f t="shared" si="1"/>
        <v>31</v>
      </c>
      <c r="L65" s="14" t="s">
        <v>213</v>
      </c>
      <c r="M65" s="4"/>
      <c r="N65" s="18" t="s">
        <v>214</v>
      </c>
      <c r="O65" s="4">
        <v>974140352</v>
      </c>
      <c r="P65" s="4"/>
    </row>
    <row r="66" spans="2:16">
      <c r="B66" s="4">
        <v>59</v>
      </c>
      <c r="C66" s="4">
        <v>44995918</v>
      </c>
      <c r="D66" s="18" t="s">
        <v>215</v>
      </c>
      <c r="E66" s="4" t="s">
        <v>17</v>
      </c>
      <c r="F66" s="18" t="s">
        <v>18</v>
      </c>
      <c r="G66" s="4" t="s">
        <v>40</v>
      </c>
      <c r="H66" s="4" t="s">
        <v>41</v>
      </c>
      <c r="I66" s="12">
        <v>28</v>
      </c>
      <c r="J66" s="12"/>
      <c r="K66" s="12">
        <f t="shared" si="1"/>
        <v>28</v>
      </c>
      <c r="L66" s="14" t="s">
        <v>128</v>
      </c>
      <c r="M66" s="4"/>
      <c r="N66" s="18" t="s">
        <v>216</v>
      </c>
      <c r="O66" s="4">
        <v>959436332</v>
      </c>
      <c r="P66" s="4"/>
    </row>
    <row r="67" spans="2:16">
      <c r="B67" s="4">
        <v>60</v>
      </c>
      <c r="C67" s="4">
        <v>40160212</v>
      </c>
      <c r="D67" s="18" t="s">
        <v>217</v>
      </c>
      <c r="E67" s="4" t="s">
        <v>17</v>
      </c>
      <c r="F67" s="18" t="s">
        <v>18</v>
      </c>
      <c r="G67" s="4" t="s">
        <v>19</v>
      </c>
      <c r="H67" s="4" t="s">
        <v>41</v>
      </c>
      <c r="I67" s="12">
        <v>32</v>
      </c>
      <c r="J67" s="12"/>
      <c r="K67" s="12">
        <f t="shared" si="1"/>
        <v>32</v>
      </c>
      <c r="L67" s="14" t="s">
        <v>218</v>
      </c>
      <c r="M67" s="4"/>
      <c r="N67" s="18" t="s">
        <v>219</v>
      </c>
      <c r="O67" s="4">
        <v>955488293</v>
      </c>
      <c r="P67" s="4"/>
    </row>
    <row r="68" spans="2:16">
      <c r="B68" s="4">
        <v>61</v>
      </c>
      <c r="C68" s="4">
        <v>22255543</v>
      </c>
      <c r="D68" s="18" t="s">
        <v>220</v>
      </c>
      <c r="E68" s="4" t="s">
        <v>17</v>
      </c>
      <c r="F68" s="18" t="s">
        <v>18</v>
      </c>
      <c r="G68" s="4" t="s">
        <v>19</v>
      </c>
      <c r="H68" s="4" t="s">
        <v>32</v>
      </c>
      <c r="I68" s="12">
        <v>30</v>
      </c>
      <c r="J68" s="12"/>
      <c r="K68" s="12">
        <f t="shared" si="1"/>
        <v>30</v>
      </c>
      <c r="L68" s="14" t="s">
        <v>221</v>
      </c>
      <c r="M68" s="4"/>
      <c r="N68" s="18" t="s">
        <v>222</v>
      </c>
      <c r="O68" s="4">
        <v>948647094</v>
      </c>
      <c r="P68" s="4"/>
    </row>
    <row r="69" spans="2:16">
      <c r="B69" s="4">
        <v>62</v>
      </c>
      <c r="C69" s="4">
        <v>44407156</v>
      </c>
      <c r="D69" s="18" t="s">
        <v>223</v>
      </c>
      <c r="E69" s="4" t="s">
        <v>17</v>
      </c>
      <c r="F69" s="18" t="s">
        <v>18</v>
      </c>
      <c r="G69" s="4" t="s">
        <v>40</v>
      </c>
      <c r="H69" s="4" t="s">
        <v>41</v>
      </c>
      <c r="I69" s="12">
        <v>33</v>
      </c>
      <c r="J69" s="12"/>
      <c r="K69" s="12">
        <f t="shared" si="1"/>
        <v>33</v>
      </c>
      <c r="L69" s="12"/>
      <c r="M69" s="4"/>
      <c r="N69" s="18" t="s">
        <v>224</v>
      </c>
      <c r="O69" s="4">
        <v>945288200</v>
      </c>
      <c r="P69" s="4"/>
    </row>
    <row r="70" spans="2:16">
      <c r="B70" s="4">
        <v>63</v>
      </c>
      <c r="C70" s="4">
        <v>45629797</v>
      </c>
      <c r="D70" s="18" t="s">
        <v>225</v>
      </c>
      <c r="E70" s="4" t="s">
        <v>17</v>
      </c>
      <c r="F70" s="18" t="s">
        <v>18</v>
      </c>
      <c r="G70" s="4" t="s">
        <v>40</v>
      </c>
      <c r="H70" s="4" t="s">
        <v>41</v>
      </c>
      <c r="I70" s="12">
        <v>32</v>
      </c>
      <c r="J70" s="12"/>
      <c r="K70" s="12">
        <f t="shared" si="1"/>
        <v>32</v>
      </c>
      <c r="L70" s="12"/>
      <c r="M70" s="4"/>
      <c r="N70" s="18" t="s">
        <v>226</v>
      </c>
      <c r="O70" s="4" t="s">
        <v>227</v>
      </c>
      <c r="P70" s="4"/>
    </row>
    <row r="71" spans="2:16">
      <c r="B71" s="4">
        <v>64</v>
      </c>
      <c r="C71" s="4">
        <v>42781566</v>
      </c>
      <c r="D71" s="18" t="s">
        <v>228</v>
      </c>
      <c r="E71" s="4" t="s">
        <v>17</v>
      </c>
      <c r="F71" s="18" t="s">
        <v>18</v>
      </c>
      <c r="G71" s="4" t="s">
        <v>19</v>
      </c>
      <c r="H71" s="4" t="s">
        <v>25</v>
      </c>
      <c r="I71" s="12">
        <v>32</v>
      </c>
      <c r="J71" s="12"/>
      <c r="K71" s="12">
        <f t="shared" si="1"/>
        <v>32</v>
      </c>
      <c r="L71" s="14" t="s">
        <v>229</v>
      </c>
      <c r="M71" s="4"/>
      <c r="N71" s="18" t="s">
        <v>230</v>
      </c>
      <c r="O71" s="4" t="s">
        <v>231</v>
      </c>
      <c r="P71" s="4"/>
    </row>
    <row r="72" spans="2:16">
      <c r="B72" s="4">
        <v>65</v>
      </c>
      <c r="C72" s="4">
        <v>21887837</v>
      </c>
      <c r="D72" s="18" t="s">
        <v>232</v>
      </c>
      <c r="E72" s="4" t="s">
        <v>17</v>
      </c>
      <c r="F72" s="18" t="s">
        <v>64</v>
      </c>
      <c r="G72" s="4" t="s">
        <v>92</v>
      </c>
      <c r="H72" s="4" t="s">
        <v>25</v>
      </c>
      <c r="I72" s="12">
        <v>40</v>
      </c>
      <c r="J72" s="12"/>
      <c r="K72" s="12">
        <f t="shared" si="1"/>
        <v>40</v>
      </c>
      <c r="L72" s="14" t="s">
        <v>233</v>
      </c>
      <c r="M72" s="4"/>
      <c r="N72" s="18" t="s">
        <v>234</v>
      </c>
      <c r="O72" s="4">
        <v>955894726</v>
      </c>
      <c r="P72" s="4"/>
    </row>
    <row r="73" spans="2:16">
      <c r="B73" s="4">
        <v>66</v>
      </c>
      <c r="C73" s="4">
        <v>40639051</v>
      </c>
      <c r="D73" s="18" t="s">
        <v>235</v>
      </c>
      <c r="E73" s="4" t="s">
        <v>17</v>
      </c>
      <c r="F73" s="18" t="s">
        <v>30</v>
      </c>
      <c r="G73" s="4" t="s">
        <v>31</v>
      </c>
      <c r="H73" s="4" t="s">
        <v>25</v>
      </c>
      <c r="I73" s="12">
        <v>34</v>
      </c>
      <c r="J73" s="12"/>
      <c r="K73" s="12">
        <f t="shared" ref="K73:K104" si="2">+I73+J73</f>
        <v>34</v>
      </c>
      <c r="L73" s="14" t="s">
        <v>236</v>
      </c>
      <c r="M73" s="4"/>
      <c r="N73" s="18" t="s">
        <v>237</v>
      </c>
      <c r="O73" s="4">
        <v>952334264</v>
      </c>
      <c r="P73" s="4"/>
    </row>
    <row r="74" spans="2:16">
      <c r="B74" s="4">
        <v>67</v>
      </c>
      <c r="C74" s="4">
        <v>44866019</v>
      </c>
      <c r="D74" s="18" t="s">
        <v>238</v>
      </c>
      <c r="E74" s="4" t="s">
        <v>17</v>
      </c>
      <c r="F74" s="18" t="s">
        <v>52</v>
      </c>
      <c r="G74" s="4" t="s">
        <v>40</v>
      </c>
      <c r="H74" s="4" t="s">
        <v>25</v>
      </c>
      <c r="I74" s="12">
        <v>31</v>
      </c>
      <c r="J74" s="12"/>
      <c r="K74" s="12">
        <f t="shared" si="2"/>
        <v>31</v>
      </c>
      <c r="L74" s="14" t="s">
        <v>239</v>
      </c>
      <c r="M74" s="4"/>
      <c r="N74" s="18" t="s">
        <v>240</v>
      </c>
      <c r="O74" s="4">
        <v>940440047</v>
      </c>
      <c r="P74" s="4"/>
    </row>
    <row r="75" spans="2:16">
      <c r="B75" s="4">
        <v>68</v>
      </c>
      <c r="C75" s="4">
        <v>40930821</v>
      </c>
      <c r="D75" s="18" t="s">
        <v>241</v>
      </c>
      <c r="E75" s="4" t="s">
        <v>17</v>
      </c>
      <c r="F75" s="18" t="s">
        <v>36</v>
      </c>
      <c r="G75" s="4" t="s">
        <v>19</v>
      </c>
      <c r="H75" s="4" t="s">
        <v>32</v>
      </c>
      <c r="I75" s="12">
        <v>33</v>
      </c>
      <c r="J75" s="12"/>
      <c r="K75" s="12">
        <f t="shared" si="2"/>
        <v>33</v>
      </c>
      <c r="L75" s="14" t="s">
        <v>242</v>
      </c>
      <c r="M75" s="4"/>
      <c r="N75" s="18" t="s">
        <v>243</v>
      </c>
      <c r="O75" s="4" t="s">
        <v>244</v>
      </c>
      <c r="P75" s="4"/>
    </row>
    <row r="76" spans="2:16">
      <c r="B76" s="4">
        <v>69</v>
      </c>
      <c r="C76" s="4">
        <v>21882544</v>
      </c>
      <c r="D76" s="18" t="s">
        <v>245</v>
      </c>
      <c r="E76" s="4" t="s">
        <v>17</v>
      </c>
      <c r="F76" s="18" t="s">
        <v>60</v>
      </c>
      <c r="G76" s="4" t="s">
        <v>19</v>
      </c>
      <c r="H76" s="4" t="s">
        <v>25</v>
      </c>
      <c r="I76" s="12">
        <v>35</v>
      </c>
      <c r="J76" s="12"/>
      <c r="K76" s="12">
        <f t="shared" si="2"/>
        <v>35</v>
      </c>
      <c r="L76" s="14" t="s">
        <v>246</v>
      </c>
      <c r="M76" s="4"/>
      <c r="N76" s="18" t="s">
        <v>247</v>
      </c>
      <c r="O76" s="4"/>
      <c r="P76" s="4"/>
    </row>
    <row r="77" spans="2:16">
      <c r="B77" s="4">
        <v>70</v>
      </c>
      <c r="C77" s="4">
        <v>22291445</v>
      </c>
      <c r="D77" s="18" t="s">
        <v>248</v>
      </c>
      <c r="E77" s="4" t="s">
        <v>17</v>
      </c>
      <c r="F77" s="18" t="s">
        <v>177</v>
      </c>
      <c r="G77" s="4" t="s">
        <v>19</v>
      </c>
      <c r="H77" s="4" t="s">
        <v>32</v>
      </c>
      <c r="I77" s="12">
        <v>30</v>
      </c>
      <c r="J77" s="12"/>
      <c r="K77" s="12">
        <f t="shared" si="2"/>
        <v>30</v>
      </c>
      <c r="L77" s="14" t="s">
        <v>249</v>
      </c>
      <c r="M77" s="4"/>
      <c r="N77" s="18" t="s">
        <v>250</v>
      </c>
      <c r="O77" s="4">
        <v>956278699</v>
      </c>
      <c r="P77" s="4"/>
    </row>
    <row r="78" spans="2:16">
      <c r="B78" s="4">
        <v>71</v>
      </c>
      <c r="C78" s="4">
        <v>73213273</v>
      </c>
      <c r="D78" s="18" t="s">
        <v>251</v>
      </c>
      <c r="E78" s="4" t="s">
        <v>17</v>
      </c>
      <c r="F78" s="18" t="s">
        <v>36</v>
      </c>
      <c r="G78" s="4" t="s">
        <v>40</v>
      </c>
      <c r="H78" s="4" t="s">
        <v>25</v>
      </c>
      <c r="I78" s="12">
        <v>26</v>
      </c>
      <c r="J78" s="12"/>
      <c r="K78" s="12">
        <f t="shared" si="2"/>
        <v>26</v>
      </c>
      <c r="L78" s="14" t="s">
        <v>252</v>
      </c>
      <c r="M78" s="4"/>
      <c r="N78" s="18" t="s">
        <v>253</v>
      </c>
      <c r="O78" s="4">
        <v>969646198</v>
      </c>
      <c r="P78" s="4"/>
    </row>
    <row r="79" spans="2:16">
      <c r="B79" s="4">
        <v>72</v>
      </c>
      <c r="C79" s="4">
        <v>44867656</v>
      </c>
      <c r="D79" s="18" t="s">
        <v>254</v>
      </c>
      <c r="E79" s="4" t="s">
        <v>17</v>
      </c>
      <c r="F79" s="18" t="s">
        <v>18</v>
      </c>
      <c r="G79" s="4" t="s">
        <v>40</v>
      </c>
      <c r="H79" s="4" t="s">
        <v>41</v>
      </c>
      <c r="I79" s="12">
        <v>30</v>
      </c>
      <c r="J79" s="12"/>
      <c r="K79" s="12">
        <f t="shared" si="2"/>
        <v>30</v>
      </c>
      <c r="L79" s="14" t="s">
        <v>255</v>
      </c>
      <c r="M79" s="4"/>
      <c r="N79" s="18" t="s">
        <v>256</v>
      </c>
      <c r="O79" s="4">
        <v>977525977</v>
      </c>
      <c r="P79" s="4"/>
    </row>
    <row r="80" spans="2:16">
      <c r="B80" s="4">
        <v>73</v>
      </c>
      <c r="C80" s="4">
        <v>9575456</v>
      </c>
      <c r="D80" s="18" t="s">
        <v>257</v>
      </c>
      <c r="E80" s="4" t="s">
        <v>17</v>
      </c>
      <c r="F80" s="18" t="s">
        <v>18</v>
      </c>
      <c r="G80" s="4" t="s">
        <v>19</v>
      </c>
      <c r="H80" s="4" t="s">
        <v>20</v>
      </c>
      <c r="I80" s="12">
        <v>38</v>
      </c>
      <c r="J80" s="12"/>
      <c r="K80" s="12">
        <f t="shared" si="2"/>
        <v>38</v>
      </c>
      <c r="L80" s="14" t="s">
        <v>258</v>
      </c>
      <c r="M80" s="4"/>
      <c r="N80" s="18" t="s">
        <v>259</v>
      </c>
      <c r="O80" s="4">
        <v>991123043</v>
      </c>
      <c r="P80" s="4"/>
    </row>
    <row r="81" spans="2:16">
      <c r="B81" s="4">
        <v>74</v>
      </c>
      <c r="C81" s="4">
        <v>21808913</v>
      </c>
      <c r="D81" s="18" t="s">
        <v>260</v>
      </c>
      <c r="E81" s="4" t="s">
        <v>17</v>
      </c>
      <c r="F81" s="18" t="s">
        <v>18</v>
      </c>
      <c r="G81" s="4" t="s">
        <v>19</v>
      </c>
      <c r="H81" s="4" t="s">
        <v>32</v>
      </c>
      <c r="I81" s="12">
        <v>24</v>
      </c>
      <c r="J81" s="12"/>
      <c r="K81" s="12">
        <f t="shared" si="2"/>
        <v>24</v>
      </c>
      <c r="L81" s="14" t="s">
        <v>203</v>
      </c>
      <c r="M81" s="4"/>
      <c r="N81" s="18" t="s">
        <v>261</v>
      </c>
      <c r="O81" s="4" t="s">
        <v>262</v>
      </c>
      <c r="P81" s="4"/>
    </row>
    <row r="82" spans="2:16">
      <c r="B82" s="4">
        <v>75</v>
      </c>
      <c r="C82" s="4">
        <v>21799101</v>
      </c>
      <c r="D82" s="18" t="s">
        <v>263</v>
      </c>
      <c r="E82" s="4" t="s">
        <v>17</v>
      </c>
      <c r="F82" s="18" t="s">
        <v>30</v>
      </c>
      <c r="G82" s="4" t="s">
        <v>92</v>
      </c>
      <c r="H82" s="4" t="s">
        <v>25</v>
      </c>
      <c r="I82" s="12">
        <v>32</v>
      </c>
      <c r="J82" s="12"/>
      <c r="K82" s="12">
        <f t="shared" si="2"/>
        <v>32</v>
      </c>
      <c r="L82" s="14" t="s">
        <v>264</v>
      </c>
      <c r="M82" s="4"/>
      <c r="N82" s="18" t="s">
        <v>265</v>
      </c>
      <c r="O82" s="4" t="s">
        <v>266</v>
      </c>
      <c r="P82" s="4"/>
    </row>
    <row r="83" spans="2:16">
      <c r="B83" s="4">
        <v>76</v>
      </c>
      <c r="C83" s="4">
        <v>7757185</v>
      </c>
      <c r="D83" s="18" t="s">
        <v>267</v>
      </c>
      <c r="E83" s="4" t="s">
        <v>17</v>
      </c>
      <c r="F83" s="18" t="s">
        <v>177</v>
      </c>
      <c r="G83" s="4" t="s">
        <v>40</v>
      </c>
      <c r="H83" s="4" t="s">
        <v>25</v>
      </c>
      <c r="I83" s="12">
        <v>29</v>
      </c>
      <c r="J83" s="12"/>
      <c r="K83" s="12">
        <f t="shared" si="2"/>
        <v>29</v>
      </c>
      <c r="L83" s="14" t="s">
        <v>131</v>
      </c>
      <c r="M83" s="4"/>
      <c r="N83" s="18" t="s">
        <v>268</v>
      </c>
      <c r="O83" s="4">
        <v>947999918</v>
      </c>
      <c r="P83" s="4"/>
    </row>
    <row r="84" spans="2:16">
      <c r="B84" s="4">
        <v>77</v>
      </c>
      <c r="C84" s="4">
        <v>70768072</v>
      </c>
      <c r="D84" s="18" t="s">
        <v>269</v>
      </c>
      <c r="E84" s="4" t="s">
        <v>17</v>
      </c>
      <c r="F84" s="18" t="s">
        <v>64</v>
      </c>
      <c r="G84" s="4" t="s">
        <v>31</v>
      </c>
      <c r="H84" s="4" t="s">
        <v>25</v>
      </c>
      <c r="I84" s="12">
        <v>33</v>
      </c>
      <c r="J84" s="12"/>
      <c r="K84" s="12">
        <f t="shared" si="2"/>
        <v>33</v>
      </c>
      <c r="L84" s="14" t="s">
        <v>270</v>
      </c>
      <c r="M84" s="4"/>
      <c r="N84" s="18" t="s">
        <v>271</v>
      </c>
      <c r="O84" s="4">
        <v>986244741</v>
      </c>
      <c r="P84" s="4"/>
    </row>
    <row r="85" spans="2:16">
      <c r="B85" s="4">
        <v>79</v>
      </c>
      <c r="C85" s="4">
        <v>43529608</v>
      </c>
      <c r="D85" s="18" t="s">
        <v>272</v>
      </c>
      <c r="E85" s="4" t="s">
        <v>17</v>
      </c>
      <c r="F85" s="18" t="s">
        <v>60</v>
      </c>
      <c r="G85" s="4" t="s">
        <v>68</v>
      </c>
      <c r="H85" s="4" t="s">
        <v>32</v>
      </c>
      <c r="I85" s="12">
        <v>30</v>
      </c>
      <c r="J85" s="12"/>
      <c r="K85" s="12">
        <f t="shared" si="2"/>
        <v>30</v>
      </c>
      <c r="L85" s="14" t="s">
        <v>273</v>
      </c>
      <c r="M85" s="4"/>
      <c r="N85" s="18" t="s">
        <v>274</v>
      </c>
      <c r="O85" s="4">
        <v>944572238</v>
      </c>
      <c r="P85" s="4"/>
    </row>
    <row r="86" spans="2:16">
      <c r="B86" s="4">
        <v>80</v>
      </c>
      <c r="C86" s="4">
        <v>70107322</v>
      </c>
      <c r="D86" s="18" t="s">
        <v>275</v>
      </c>
      <c r="E86" s="4" t="s">
        <v>17</v>
      </c>
      <c r="F86" s="18" t="s">
        <v>52</v>
      </c>
      <c r="G86" s="4" t="s">
        <v>19</v>
      </c>
      <c r="H86" s="4" t="s">
        <v>32</v>
      </c>
      <c r="I86" s="12">
        <v>22</v>
      </c>
      <c r="J86" s="12"/>
      <c r="K86" s="12">
        <f t="shared" si="2"/>
        <v>22</v>
      </c>
      <c r="L86" s="14" t="s">
        <v>276</v>
      </c>
      <c r="M86" s="4"/>
      <c r="N86" s="18" t="s">
        <v>277</v>
      </c>
      <c r="O86" s="4">
        <v>910599947</v>
      </c>
      <c r="P86" s="4"/>
    </row>
    <row r="87" spans="2:16">
      <c r="B87" s="4">
        <v>81</v>
      </c>
      <c r="C87" s="4">
        <v>44565506</v>
      </c>
      <c r="D87" s="18" t="s">
        <v>278</v>
      </c>
      <c r="E87" s="4" t="s">
        <v>17</v>
      </c>
      <c r="F87" s="18" t="s">
        <v>60</v>
      </c>
      <c r="G87" s="4" t="s">
        <v>68</v>
      </c>
      <c r="H87" s="4" t="s">
        <v>32</v>
      </c>
      <c r="I87" s="12">
        <v>32</v>
      </c>
      <c r="J87" s="12"/>
      <c r="K87" s="12">
        <f t="shared" si="2"/>
        <v>32</v>
      </c>
      <c r="L87" s="14" t="s">
        <v>125</v>
      </c>
      <c r="M87" s="4"/>
      <c r="N87" s="18" t="s">
        <v>279</v>
      </c>
      <c r="O87" s="4"/>
      <c r="P87" s="4"/>
    </row>
    <row r="88" spans="2:16">
      <c r="B88" s="4">
        <v>83</v>
      </c>
      <c r="C88" s="4">
        <v>41628245</v>
      </c>
      <c r="D88" s="18" t="s">
        <v>280</v>
      </c>
      <c r="E88" s="4" t="s">
        <v>17</v>
      </c>
      <c r="F88" s="18" t="s">
        <v>36</v>
      </c>
      <c r="G88" s="4" t="s">
        <v>19</v>
      </c>
      <c r="H88" s="4" t="s">
        <v>32</v>
      </c>
      <c r="I88" s="12">
        <v>6</v>
      </c>
      <c r="J88" s="12"/>
      <c r="K88" s="12">
        <f t="shared" si="2"/>
        <v>6</v>
      </c>
      <c r="L88" s="14" t="s">
        <v>194</v>
      </c>
      <c r="M88" s="4"/>
      <c r="N88" s="18" t="s">
        <v>281</v>
      </c>
      <c r="O88" s="4">
        <v>942106570</v>
      </c>
      <c r="P88" s="4"/>
    </row>
    <row r="89" spans="2:16">
      <c r="B89" s="4">
        <v>84</v>
      </c>
      <c r="C89" s="4">
        <v>21870533</v>
      </c>
      <c r="D89" s="18" t="s">
        <v>282</v>
      </c>
      <c r="E89" s="4" t="s">
        <v>17</v>
      </c>
      <c r="F89" s="18" t="s">
        <v>177</v>
      </c>
      <c r="G89" s="4" t="s">
        <v>19</v>
      </c>
      <c r="H89" s="4" t="s">
        <v>25</v>
      </c>
      <c r="I89" s="12">
        <v>33</v>
      </c>
      <c r="J89" s="12"/>
      <c r="K89" s="12">
        <f t="shared" si="2"/>
        <v>33</v>
      </c>
      <c r="L89" s="14" t="s">
        <v>283</v>
      </c>
      <c r="M89" s="4"/>
      <c r="N89" s="18" t="s">
        <v>284</v>
      </c>
      <c r="O89" s="4">
        <v>988340696</v>
      </c>
      <c r="P89" s="4"/>
    </row>
    <row r="90" spans="2:16">
      <c r="B90" s="4">
        <v>85</v>
      </c>
      <c r="C90" s="4">
        <v>22096438</v>
      </c>
      <c r="D90" s="18" t="s">
        <v>285</v>
      </c>
      <c r="E90" s="4" t="s">
        <v>17</v>
      </c>
      <c r="F90" s="18" t="s">
        <v>206</v>
      </c>
      <c r="G90" s="4" t="s">
        <v>92</v>
      </c>
      <c r="H90" s="4" t="s">
        <v>32</v>
      </c>
      <c r="I90" s="12">
        <v>39</v>
      </c>
      <c r="J90" s="12"/>
      <c r="K90" s="12">
        <f t="shared" si="2"/>
        <v>39</v>
      </c>
      <c r="L90" s="14" t="s">
        <v>286</v>
      </c>
      <c r="M90" s="4"/>
      <c r="N90" s="18" t="s">
        <v>287</v>
      </c>
      <c r="O90" s="4">
        <v>956621896</v>
      </c>
      <c r="P90" s="4"/>
    </row>
    <row r="91" spans="2:16">
      <c r="B91" s="4">
        <v>86</v>
      </c>
      <c r="C91" s="4">
        <v>22520828</v>
      </c>
      <c r="D91" s="18" t="s">
        <v>288</v>
      </c>
      <c r="E91" s="4" t="s">
        <v>17</v>
      </c>
      <c r="F91" s="18" t="s">
        <v>36</v>
      </c>
      <c r="G91" s="4" t="s">
        <v>40</v>
      </c>
      <c r="H91" s="4" t="s">
        <v>32</v>
      </c>
      <c r="I91" s="12">
        <v>36</v>
      </c>
      <c r="J91" s="12"/>
      <c r="K91" s="12">
        <f t="shared" si="2"/>
        <v>36</v>
      </c>
      <c r="L91" s="14" t="s">
        <v>255</v>
      </c>
      <c r="M91" s="4"/>
      <c r="N91" s="18" t="s">
        <v>289</v>
      </c>
      <c r="O91" s="4">
        <v>966029623</v>
      </c>
      <c r="P91" s="4"/>
    </row>
    <row r="92" spans="2:16">
      <c r="B92" s="4">
        <v>87</v>
      </c>
      <c r="C92" s="4">
        <v>40572971</v>
      </c>
      <c r="D92" s="18" t="s">
        <v>290</v>
      </c>
      <c r="E92" s="4" t="s">
        <v>17</v>
      </c>
      <c r="F92" s="18" t="s">
        <v>18</v>
      </c>
      <c r="G92" s="4" t="s">
        <v>19</v>
      </c>
      <c r="H92" s="4" t="s">
        <v>41</v>
      </c>
      <c r="I92" s="12">
        <v>32</v>
      </c>
      <c r="J92" s="12"/>
      <c r="K92" s="12">
        <f t="shared" si="2"/>
        <v>32</v>
      </c>
      <c r="L92" s="14" t="s">
        <v>291</v>
      </c>
      <c r="M92" s="4"/>
      <c r="N92" s="18" t="s">
        <v>292</v>
      </c>
      <c r="O92" s="4">
        <v>960310073</v>
      </c>
      <c r="P92" s="4"/>
    </row>
    <row r="93" spans="2:16">
      <c r="B93" s="4">
        <v>88</v>
      </c>
      <c r="C93" s="4">
        <v>21558762</v>
      </c>
      <c r="D93" s="18" t="s">
        <v>293</v>
      </c>
      <c r="E93" s="4" t="s">
        <v>17</v>
      </c>
      <c r="F93" s="18" t="s">
        <v>18</v>
      </c>
      <c r="G93" s="4" t="s">
        <v>40</v>
      </c>
      <c r="H93" s="4" t="s">
        <v>41</v>
      </c>
      <c r="I93" s="12">
        <v>32</v>
      </c>
      <c r="J93" s="12"/>
      <c r="K93" s="12">
        <f t="shared" si="2"/>
        <v>32</v>
      </c>
      <c r="L93" s="14" t="s">
        <v>174</v>
      </c>
      <c r="M93" s="4"/>
      <c r="N93" s="18" t="s">
        <v>294</v>
      </c>
      <c r="O93" s="4" t="s">
        <v>295</v>
      </c>
      <c r="P93" s="4"/>
    </row>
    <row r="94" spans="2:16">
      <c r="B94" s="4">
        <v>89</v>
      </c>
      <c r="C94" s="4">
        <v>18135807</v>
      </c>
      <c r="D94" s="18" t="s">
        <v>296</v>
      </c>
      <c r="E94" s="4" t="s">
        <v>17</v>
      </c>
      <c r="F94" s="18" t="s">
        <v>18</v>
      </c>
      <c r="G94" s="4" t="s">
        <v>19</v>
      </c>
      <c r="H94" s="4" t="s">
        <v>20</v>
      </c>
      <c r="I94" s="12">
        <v>30</v>
      </c>
      <c r="J94" s="12"/>
      <c r="K94" s="12">
        <f t="shared" si="2"/>
        <v>30</v>
      </c>
      <c r="L94" s="14" t="s">
        <v>246</v>
      </c>
      <c r="M94" s="4"/>
      <c r="N94" s="18" t="s">
        <v>297</v>
      </c>
      <c r="O94" s="4">
        <v>975519936</v>
      </c>
      <c r="P94" s="4"/>
    </row>
    <row r="95" spans="2:16">
      <c r="B95" s="4">
        <v>90</v>
      </c>
      <c r="C95" s="4">
        <v>75375310</v>
      </c>
      <c r="D95" s="18" t="s">
        <v>298</v>
      </c>
      <c r="E95" s="4" t="s">
        <v>17</v>
      </c>
      <c r="F95" s="18" t="s">
        <v>206</v>
      </c>
      <c r="G95" s="4" t="s">
        <v>31</v>
      </c>
      <c r="H95" s="4" t="s">
        <v>25</v>
      </c>
      <c r="I95" s="12">
        <v>34</v>
      </c>
      <c r="J95" s="12"/>
      <c r="K95" s="12">
        <f t="shared" si="2"/>
        <v>34</v>
      </c>
      <c r="L95" s="14" t="s">
        <v>79</v>
      </c>
      <c r="M95" s="4"/>
      <c r="N95" s="18" t="s">
        <v>299</v>
      </c>
      <c r="O95" s="4">
        <v>974682766</v>
      </c>
      <c r="P95" s="4"/>
    </row>
    <row r="96" spans="2:16">
      <c r="B96" s="4">
        <v>91</v>
      </c>
      <c r="C96" s="4">
        <v>44893085</v>
      </c>
      <c r="D96" s="18" t="s">
        <v>300</v>
      </c>
      <c r="E96" s="4" t="s">
        <v>17</v>
      </c>
      <c r="F96" s="18" t="s">
        <v>52</v>
      </c>
      <c r="G96" s="4" t="s">
        <v>40</v>
      </c>
      <c r="H96" s="4" t="s">
        <v>41</v>
      </c>
      <c r="I96" s="12">
        <v>33</v>
      </c>
      <c r="J96" s="12"/>
      <c r="K96" s="12">
        <f t="shared" si="2"/>
        <v>33</v>
      </c>
      <c r="L96" s="14" t="s">
        <v>301</v>
      </c>
      <c r="M96" s="4"/>
      <c r="N96" s="18" t="s">
        <v>302</v>
      </c>
      <c r="O96" s="4">
        <v>996177283</v>
      </c>
      <c r="P96" s="4"/>
    </row>
    <row r="97" spans="2:16">
      <c r="B97" s="4">
        <v>92</v>
      </c>
      <c r="C97" s="4">
        <v>22275169</v>
      </c>
      <c r="D97" s="18" t="s">
        <v>303</v>
      </c>
      <c r="E97" s="4" t="s">
        <v>17</v>
      </c>
      <c r="F97" s="18" t="s">
        <v>206</v>
      </c>
      <c r="G97" s="4" t="s">
        <v>92</v>
      </c>
      <c r="H97" s="4" t="s">
        <v>32</v>
      </c>
      <c r="I97" s="12">
        <v>33</v>
      </c>
      <c r="J97" s="12"/>
      <c r="K97" s="12">
        <f t="shared" si="2"/>
        <v>33</v>
      </c>
      <c r="L97" s="14" t="s">
        <v>304</v>
      </c>
      <c r="M97" s="4"/>
      <c r="N97" s="18" t="s">
        <v>305</v>
      </c>
      <c r="O97" s="4">
        <v>943460499</v>
      </c>
      <c r="P97" s="4"/>
    </row>
    <row r="98" spans="2:16">
      <c r="B98" s="4">
        <v>93</v>
      </c>
      <c r="C98" s="4">
        <v>41282651</v>
      </c>
      <c r="D98" s="18" t="s">
        <v>306</v>
      </c>
      <c r="E98" s="4" t="s">
        <v>17</v>
      </c>
      <c r="F98" s="18" t="s">
        <v>18</v>
      </c>
      <c r="G98" s="4" t="s">
        <v>40</v>
      </c>
      <c r="H98" s="4" t="s">
        <v>41</v>
      </c>
      <c r="I98" s="12">
        <v>37</v>
      </c>
      <c r="J98" s="12"/>
      <c r="K98" s="12">
        <f t="shared" si="2"/>
        <v>37</v>
      </c>
      <c r="L98" s="14" t="s">
        <v>221</v>
      </c>
      <c r="M98" s="4"/>
      <c r="N98" s="18" t="s">
        <v>307</v>
      </c>
      <c r="O98" s="4">
        <v>955614542</v>
      </c>
      <c r="P98" s="4"/>
    </row>
    <row r="99" spans="2:16">
      <c r="B99" s="4">
        <v>94</v>
      </c>
      <c r="C99" s="4">
        <v>42721030</v>
      </c>
      <c r="D99" s="18" t="s">
        <v>308</v>
      </c>
      <c r="E99" s="4" t="s">
        <v>17</v>
      </c>
      <c r="F99" s="18" t="s">
        <v>52</v>
      </c>
      <c r="G99" s="4" t="s">
        <v>40</v>
      </c>
      <c r="H99" s="4" t="s">
        <v>20</v>
      </c>
      <c r="I99" s="4">
        <v>8</v>
      </c>
      <c r="J99" s="4"/>
      <c r="K99" s="12">
        <f t="shared" si="2"/>
        <v>8</v>
      </c>
      <c r="L99" s="14" t="s">
        <v>309</v>
      </c>
      <c r="M99" s="4"/>
      <c r="N99" s="18" t="s">
        <v>310</v>
      </c>
      <c r="O99" s="4" t="s">
        <v>311</v>
      </c>
      <c r="P99" s="5"/>
    </row>
    <row r="100" spans="2:16">
      <c r="B100" s="4">
        <v>95</v>
      </c>
      <c r="C100" s="5"/>
      <c r="D100" s="18"/>
      <c r="E100" s="5"/>
      <c r="F100" s="18"/>
      <c r="G100" s="5"/>
      <c r="H100" s="5"/>
      <c r="I100" s="10"/>
      <c r="J100" s="10"/>
      <c r="K100" s="12">
        <f t="shared" si="2"/>
        <v>0</v>
      </c>
      <c r="L100" s="12"/>
      <c r="M100" s="5"/>
      <c r="N100" s="18"/>
      <c r="O100" s="5"/>
      <c r="P100" s="5"/>
    </row>
    <row r="101" spans="2:16">
      <c r="B101" s="4">
        <v>96</v>
      </c>
      <c r="C101" s="5"/>
      <c r="D101" s="18"/>
      <c r="E101" s="5"/>
      <c r="F101" s="18"/>
      <c r="G101" s="5"/>
      <c r="H101" s="5"/>
      <c r="I101" s="10"/>
      <c r="J101" s="10"/>
      <c r="K101" s="12">
        <f t="shared" si="2"/>
        <v>0</v>
      </c>
      <c r="L101" s="12"/>
      <c r="M101" s="5"/>
      <c r="N101" s="18"/>
      <c r="O101" s="5"/>
      <c r="P101" s="5"/>
    </row>
    <row r="102" spans="2:16">
      <c r="B102" s="4">
        <v>97</v>
      </c>
      <c r="C102" s="5"/>
      <c r="D102" s="18"/>
      <c r="E102" s="5"/>
      <c r="F102" s="18"/>
      <c r="G102" s="5"/>
      <c r="H102" s="5"/>
      <c r="I102" s="10"/>
      <c r="J102" s="10"/>
      <c r="K102" s="12">
        <f t="shared" si="2"/>
        <v>0</v>
      </c>
      <c r="L102" s="12"/>
      <c r="M102" s="5"/>
      <c r="N102" s="18"/>
      <c r="O102" s="5"/>
      <c r="P102" s="5"/>
    </row>
    <row r="103" spans="2:16">
      <c r="B103" s="4">
        <v>98</v>
      </c>
      <c r="C103" s="5"/>
      <c r="D103" s="18"/>
      <c r="E103" s="5"/>
      <c r="F103" s="18"/>
      <c r="G103" s="5"/>
      <c r="H103" s="5"/>
      <c r="I103" s="10"/>
      <c r="J103" s="10"/>
      <c r="K103" s="12">
        <f t="shared" si="2"/>
        <v>0</v>
      </c>
      <c r="L103" s="12"/>
      <c r="M103" s="5"/>
      <c r="N103" s="18"/>
      <c r="O103" s="5"/>
      <c r="P103" s="5"/>
    </row>
    <row r="104" spans="2:16">
      <c r="B104" s="4">
        <v>99</v>
      </c>
      <c r="C104" s="5"/>
      <c r="D104" s="18"/>
      <c r="E104" s="5"/>
      <c r="F104" s="18"/>
      <c r="G104" s="5"/>
      <c r="H104" s="5"/>
      <c r="I104" s="10"/>
      <c r="J104" s="10"/>
      <c r="K104" s="12">
        <f t="shared" si="2"/>
        <v>0</v>
      </c>
      <c r="L104" s="12"/>
      <c r="M104" s="5"/>
      <c r="N104" s="18"/>
      <c r="O104" s="5"/>
      <c r="P104" s="5"/>
    </row>
    <row r="105" spans="2:16">
      <c r="B105" s="4">
        <v>100</v>
      </c>
      <c r="C105" s="5"/>
      <c r="D105" s="18"/>
      <c r="E105" s="5"/>
      <c r="F105" s="18"/>
      <c r="G105" s="5"/>
      <c r="H105" s="5"/>
      <c r="I105" s="10"/>
      <c r="J105" s="10"/>
      <c r="K105" s="12">
        <f t="shared" ref="K105:K118" si="3">+I105+J105</f>
        <v>0</v>
      </c>
      <c r="L105" s="12"/>
      <c r="M105" s="5"/>
      <c r="N105" s="18"/>
      <c r="O105" s="5"/>
      <c r="P105" s="5"/>
    </row>
    <row r="106" spans="2:16">
      <c r="B106" s="4">
        <v>101</v>
      </c>
      <c r="C106" s="5"/>
      <c r="D106" s="18"/>
      <c r="E106" s="5"/>
      <c r="F106" s="18"/>
      <c r="G106" s="5"/>
      <c r="H106" s="5"/>
      <c r="I106" s="10"/>
      <c r="J106" s="10"/>
      <c r="K106" s="12">
        <f t="shared" si="3"/>
        <v>0</v>
      </c>
      <c r="L106" s="12"/>
      <c r="M106" s="5"/>
      <c r="N106" s="18"/>
      <c r="O106" s="5"/>
      <c r="P106" s="5"/>
    </row>
    <row r="107" spans="2:16">
      <c r="B107" s="4">
        <v>102</v>
      </c>
      <c r="C107" s="5"/>
      <c r="D107" s="18"/>
      <c r="E107" s="5"/>
      <c r="F107" s="18"/>
      <c r="G107" s="5"/>
      <c r="H107" s="5"/>
      <c r="I107" s="10"/>
      <c r="J107" s="10"/>
      <c r="K107" s="12">
        <f t="shared" si="3"/>
        <v>0</v>
      </c>
      <c r="L107" s="12"/>
      <c r="M107" s="5"/>
      <c r="N107" s="18"/>
      <c r="O107" s="5"/>
      <c r="P107" s="5"/>
    </row>
    <row r="108" spans="2:16">
      <c r="B108" s="4">
        <v>103</v>
      </c>
      <c r="C108" s="5"/>
      <c r="D108" s="18"/>
      <c r="E108" s="5"/>
      <c r="F108" s="18"/>
      <c r="G108" s="5"/>
      <c r="H108" s="5"/>
      <c r="I108" s="10"/>
      <c r="J108" s="10"/>
      <c r="K108" s="12">
        <f t="shared" si="3"/>
        <v>0</v>
      </c>
      <c r="L108" s="12"/>
      <c r="M108" s="5"/>
      <c r="N108" s="18"/>
      <c r="O108" s="5"/>
      <c r="P108" s="5"/>
    </row>
    <row r="109" spans="2:16">
      <c r="B109" s="4">
        <v>104</v>
      </c>
      <c r="C109" s="5"/>
      <c r="D109" s="18"/>
      <c r="E109" s="5"/>
      <c r="F109" s="18"/>
      <c r="G109" s="5"/>
      <c r="H109" s="5"/>
      <c r="I109" s="10"/>
      <c r="J109" s="10"/>
      <c r="K109" s="12">
        <f t="shared" si="3"/>
        <v>0</v>
      </c>
      <c r="L109" s="12"/>
      <c r="M109" s="5"/>
      <c r="N109" s="18"/>
      <c r="O109" s="5"/>
      <c r="P109" s="5"/>
    </row>
    <row r="110" spans="2:16">
      <c r="B110" s="4">
        <v>105</v>
      </c>
      <c r="C110" s="5"/>
      <c r="D110" s="18"/>
      <c r="E110" s="5"/>
      <c r="F110" s="18"/>
      <c r="G110" s="5"/>
      <c r="H110" s="5"/>
      <c r="I110" s="10"/>
      <c r="J110" s="10"/>
      <c r="K110" s="12">
        <f t="shared" si="3"/>
        <v>0</v>
      </c>
      <c r="L110" s="12"/>
      <c r="M110" s="5"/>
      <c r="N110" s="18"/>
      <c r="O110" s="5"/>
      <c r="P110" s="5"/>
    </row>
    <row r="111" spans="2:16">
      <c r="B111" s="4">
        <v>106</v>
      </c>
      <c r="C111" s="5"/>
      <c r="D111" s="18"/>
      <c r="E111" s="5"/>
      <c r="F111" s="18"/>
      <c r="G111" s="5"/>
      <c r="H111" s="5"/>
      <c r="I111" s="10"/>
      <c r="J111" s="10"/>
      <c r="K111" s="12">
        <f t="shared" si="3"/>
        <v>0</v>
      </c>
      <c r="L111" s="12"/>
      <c r="M111" s="5"/>
      <c r="N111" s="18"/>
      <c r="O111" s="5"/>
      <c r="P111" s="5"/>
    </row>
    <row r="112" spans="2:16">
      <c r="B112" s="4">
        <v>107</v>
      </c>
      <c r="C112" s="5"/>
      <c r="D112" s="18"/>
      <c r="E112" s="5"/>
      <c r="F112" s="18"/>
      <c r="G112" s="5"/>
      <c r="H112" s="5"/>
      <c r="I112" s="10"/>
      <c r="J112" s="10"/>
      <c r="K112" s="12">
        <f t="shared" si="3"/>
        <v>0</v>
      </c>
      <c r="L112" s="12"/>
      <c r="M112" s="5"/>
      <c r="N112" s="18"/>
      <c r="O112" s="5"/>
      <c r="P112" s="5"/>
    </row>
    <row r="113" spans="2:16">
      <c r="B113" s="4">
        <v>108</v>
      </c>
      <c r="C113" s="5"/>
      <c r="D113" s="18"/>
      <c r="E113" s="5"/>
      <c r="F113" s="18"/>
      <c r="G113" s="5"/>
      <c r="H113" s="5"/>
      <c r="I113" s="10"/>
      <c r="J113" s="10"/>
      <c r="K113" s="12">
        <f t="shared" si="3"/>
        <v>0</v>
      </c>
      <c r="L113" s="12"/>
      <c r="M113" s="5"/>
      <c r="N113" s="18"/>
      <c r="O113" s="5"/>
      <c r="P113" s="5"/>
    </row>
    <row r="114" spans="2:16">
      <c r="B114" s="4">
        <v>109</v>
      </c>
      <c r="C114" s="5"/>
      <c r="D114" s="18"/>
      <c r="E114" s="5"/>
      <c r="F114" s="18"/>
      <c r="G114" s="5"/>
      <c r="H114" s="5"/>
      <c r="I114" s="10"/>
      <c r="J114" s="10"/>
      <c r="K114" s="12">
        <f t="shared" si="3"/>
        <v>0</v>
      </c>
      <c r="L114" s="12"/>
      <c r="M114" s="5"/>
      <c r="N114" s="18"/>
      <c r="O114" s="5"/>
      <c r="P114" s="5"/>
    </row>
    <row r="115" spans="2:16">
      <c r="B115" s="4">
        <v>110</v>
      </c>
      <c r="C115" s="5"/>
      <c r="D115" s="18"/>
      <c r="E115" s="5"/>
      <c r="F115" s="18"/>
      <c r="G115" s="5"/>
      <c r="H115" s="5"/>
      <c r="I115" s="10"/>
      <c r="J115" s="10"/>
      <c r="K115" s="12">
        <f t="shared" si="3"/>
        <v>0</v>
      </c>
      <c r="L115" s="12"/>
      <c r="M115" s="5"/>
      <c r="N115" s="18"/>
      <c r="O115" s="5"/>
      <c r="P115" s="5"/>
    </row>
    <row r="116" spans="2:16">
      <c r="B116" s="4">
        <v>111</v>
      </c>
      <c r="C116" s="5"/>
      <c r="D116" s="18"/>
      <c r="E116" s="5"/>
      <c r="F116" s="18"/>
      <c r="G116" s="5"/>
      <c r="H116" s="5"/>
      <c r="I116" s="10"/>
      <c r="J116" s="10"/>
      <c r="K116" s="12">
        <f t="shared" si="3"/>
        <v>0</v>
      </c>
      <c r="L116" s="12"/>
      <c r="M116" s="5"/>
      <c r="N116" s="18"/>
      <c r="O116" s="5"/>
      <c r="P116" s="5"/>
    </row>
    <row r="117" spans="2:16">
      <c r="B117" s="4">
        <v>112</v>
      </c>
      <c r="C117" s="5"/>
      <c r="D117" s="18"/>
      <c r="E117" s="5"/>
      <c r="F117" s="18"/>
      <c r="G117" s="5"/>
      <c r="H117" s="5"/>
      <c r="I117" s="10"/>
      <c r="J117" s="10"/>
      <c r="K117" s="12">
        <f t="shared" si="3"/>
        <v>0</v>
      </c>
      <c r="L117" s="12"/>
      <c r="M117" s="5"/>
      <c r="N117" s="18"/>
      <c r="O117" s="5"/>
      <c r="P117" s="5"/>
    </row>
    <row r="118" spans="2:16">
      <c r="B118" s="4">
        <v>113</v>
      </c>
      <c r="C118" s="5"/>
      <c r="D118" s="18"/>
      <c r="E118" s="5"/>
      <c r="F118" s="18"/>
      <c r="G118" s="5"/>
      <c r="H118" s="5"/>
      <c r="I118" s="10"/>
      <c r="J118" s="10"/>
      <c r="K118" s="12">
        <f t="shared" si="3"/>
        <v>0</v>
      </c>
      <c r="L118" s="12"/>
      <c r="M118" s="5"/>
      <c r="N118" s="18"/>
      <c r="O118" s="5"/>
      <c r="P118" s="5"/>
    </row>
  </sheetData>
  <autoFilter ref="B8:P8" xr:uid="{ED76A3AE-9AA1-4BBA-A581-9F2AD4D5DB6A}"/>
  <mergeCells count="1">
    <mergeCell ref="B6:P6"/>
  </mergeCells>
  <pageMargins left="0.15748031496062992" right="0.11811023622047245" top="0.43307086614173229" bottom="0.39370078740157483" header="0.31496062992125984" footer="0.31496062992125984"/>
  <pageSetup paperSize="9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D9C7-5C1E-4757-A0D4-AF7D2D575BFE}">
  <sheetPr>
    <tabColor rgb="FFFFC000"/>
    <pageSetUpPr fitToPage="1"/>
  </sheetPr>
  <dimension ref="B1:M137"/>
  <sheetViews>
    <sheetView showGridLines="0" zoomScale="85" zoomScaleNormal="85" workbookViewId="0">
      <selection activeCell="J12" sqref="J12"/>
    </sheetView>
  </sheetViews>
  <sheetFormatPr defaultColWidth="11.42578125" defaultRowHeight="15"/>
  <cols>
    <col min="1" max="1" width="2.85546875" customWidth="1"/>
    <col min="2" max="2" width="4.140625" bestFit="1" customWidth="1"/>
    <col min="3" max="3" width="10.5703125" style="1" customWidth="1"/>
    <col min="4" max="4" width="11.42578125" customWidth="1"/>
    <col min="5" max="5" width="9.28515625" customWidth="1"/>
    <col min="6" max="6" width="49.140625" customWidth="1"/>
    <col min="7" max="7" width="16" customWidth="1"/>
    <col min="8" max="8" width="14.42578125" customWidth="1"/>
    <col min="9" max="9" width="11.42578125" style="1" customWidth="1"/>
    <col min="10" max="10" width="19.28515625" style="1" customWidth="1"/>
    <col min="11" max="11" width="36.42578125" bestFit="1" customWidth="1"/>
    <col min="12" max="12" width="17.85546875" style="1" customWidth="1"/>
    <col min="13" max="13" width="20.140625" customWidth="1"/>
  </cols>
  <sheetData>
    <row r="1" spans="2:13">
      <c r="M1" s="1"/>
    </row>
    <row r="2" spans="2:13">
      <c r="M2" s="1"/>
    </row>
    <row r="3" spans="2:13">
      <c r="M3" s="1"/>
    </row>
    <row r="4" spans="2:13">
      <c r="M4" s="1"/>
    </row>
    <row r="5" spans="2:13">
      <c r="M5" s="1"/>
    </row>
    <row r="6" spans="2:13" ht="44.65" customHeight="1">
      <c r="B6" s="112" t="s">
        <v>312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</row>
    <row r="7" spans="2:13">
      <c r="M7" s="1"/>
    </row>
    <row r="8" spans="2:13" s="11" customFormat="1" ht="42.7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11</v>
      </c>
      <c r="K8" s="9" t="s">
        <v>13</v>
      </c>
      <c r="L8" s="9" t="s">
        <v>14</v>
      </c>
      <c r="M8" s="9" t="s">
        <v>15</v>
      </c>
    </row>
    <row r="9" spans="2:13">
      <c r="B9" s="4">
        <v>1</v>
      </c>
      <c r="C9" s="4">
        <v>45228337</v>
      </c>
      <c r="D9" s="5" t="s">
        <v>313</v>
      </c>
      <c r="E9" s="5" t="s">
        <v>17</v>
      </c>
      <c r="F9" s="5" t="s">
        <v>52</v>
      </c>
      <c r="G9" s="5" t="s">
        <v>19</v>
      </c>
      <c r="H9" s="5" t="s">
        <v>32</v>
      </c>
      <c r="I9" s="4">
        <v>13</v>
      </c>
      <c r="J9" s="14" t="s">
        <v>314</v>
      </c>
      <c r="K9" s="5" t="s">
        <v>315</v>
      </c>
      <c r="L9" s="4">
        <v>936774790</v>
      </c>
      <c r="M9" s="5"/>
    </row>
    <row r="10" spans="2:13">
      <c r="B10" s="4">
        <v>2</v>
      </c>
      <c r="C10" s="4">
        <v>21525109</v>
      </c>
      <c r="D10" s="5" t="s">
        <v>316</v>
      </c>
      <c r="E10" s="5" t="s">
        <v>17</v>
      </c>
      <c r="F10" s="5" t="s">
        <v>30</v>
      </c>
      <c r="G10" s="5" t="s">
        <v>31</v>
      </c>
      <c r="H10" s="5" t="s">
        <v>32</v>
      </c>
      <c r="I10" s="4">
        <v>17</v>
      </c>
      <c r="J10" s="14" t="s">
        <v>317</v>
      </c>
      <c r="K10" s="5" t="s">
        <v>318</v>
      </c>
      <c r="L10" s="4">
        <v>998672766</v>
      </c>
      <c r="M10" s="5"/>
    </row>
    <row r="11" spans="2:13">
      <c r="B11" s="4">
        <v>3</v>
      </c>
      <c r="C11" s="4">
        <v>44371485</v>
      </c>
      <c r="D11" s="5" t="s">
        <v>319</v>
      </c>
      <c r="E11" s="5" t="s">
        <v>17</v>
      </c>
      <c r="F11" s="5" t="s">
        <v>60</v>
      </c>
      <c r="G11" s="5" t="s">
        <v>40</v>
      </c>
      <c r="H11" s="5" t="s">
        <v>25</v>
      </c>
      <c r="I11" s="4">
        <v>19</v>
      </c>
      <c r="J11" s="14" t="s">
        <v>320</v>
      </c>
      <c r="K11" s="5" t="s">
        <v>321</v>
      </c>
      <c r="L11" s="4">
        <v>973826973</v>
      </c>
      <c r="M11" s="5"/>
    </row>
    <row r="12" spans="2:13">
      <c r="B12" s="4">
        <v>4</v>
      </c>
      <c r="C12" s="4">
        <v>21560679</v>
      </c>
      <c r="D12" s="5" t="s">
        <v>322</v>
      </c>
      <c r="E12" s="5" t="s">
        <v>17</v>
      </c>
      <c r="F12" s="5" t="s">
        <v>30</v>
      </c>
      <c r="G12" s="5" t="s">
        <v>31</v>
      </c>
      <c r="H12" s="5" t="s">
        <v>32</v>
      </c>
      <c r="I12" s="4">
        <v>14</v>
      </c>
      <c r="J12" s="14" t="s">
        <v>323</v>
      </c>
      <c r="K12" s="5" t="s">
        <v>324</v>
      </c>
      <c r="L12" s="4">
        <v>959348713</v>
      </c>
      <c r="M12" s="5"/>
    </row>
    <row r="13" spans="2:13">
      <c r="B13" s="4">
        <v>5</v>
      </c>
      <c r="C13" s="4">
        <v>22299955</v>
      </c>
      <c r="D13" s="5" t="s">
        <v>325</v>
      </c>
      <c r="E13" s="5" t="s">
        <v>17</v>
      </c>
      <c r="F13" s="5" t="s">
        <v>18</v>
      </c>
      <c r="G13" s="5" t="s">
        <v>40</v>
      </c>
      <c r="H13" s="5" t="s">
        <v>20</v>
      </c>
      <c r="I13" s="4">
        <v>18</v>
      </c>
      <c r="J13" s="14" t="s">
        <v>326</v>
      </c>
      <c r="K13" s="5" t="s">
        <v>327</v>
      </c>
      <c r="L13" s="4">
        <v>961510609</v>
      </c>
      <c r="M13" s="5"/>
    </row>
    <row r="14" spans="2:13">
      <c r="B14" s="4">
        <v>6</v>
      </c>
      <c r="C14" s="4">
        <v>21546746</v>
      </c>
      <c r="D14" s="5" t="s">
        <v>328</v>
      </c>
      <c r="E14" s="5" t="s">
        <v>17</v>
      </c>
      <c r="F14" s="5" t="s">
        <v>30</v>
      </c>
      <c r="G14" s="5" t="s">
        <v>31</v>
      </c>
      <c r="H14" s="5" t="s">
        <v>32</v>
      </c>
      <c r="I14" s="4">
        <v>15</v>
      </c>
      <c r="J14" s="14" t="s">
        <v>329</v>
      </c>
      <c r="K14" s="5" t="s">
        <v>330</v>
      </c>
      <c r="L14" s="4">
        <v>950999223</v>
      </c>
      <c r="M14" s="5"/>
    </row>
    <row r="15" spans="2:13">
      <c r="B15" s="4">
        <v>7</v>
      </c>
      <c r="C15" s="4">
        <v>42841966</v>
      </c>
      <c r="D15" s="5" t="s">
        <v>331</v>
      </c>
      <c r="E15" s="5" t="s">
        <v>17</v>
      </c>
      <c r="F15" s="5" t="s">
        <v>30</v>
      </c>
      <c r="G15" s="5" t="s">
        <v>31</v>
      </c>
      <c r="H15" s="5" t="s">
        <v>32</v>
      </c>
      <c r="I15" s="4">
        <v>10</v>
      </c>
      <c r="J15" s="14" t="s">
        <v>332</v>
      </c>
      <c r="K15" s="5" t="s">
        <v>333</v>
      </c>
      <c r="L15" s="4">
        <v>971616753</v>
      </c>
      <c r="M15" s="5"/>
    </row>
    <row r="16" spans="2:13">
      <c r="B16" s="4">
        <v>8</v>
      </c>
      <c r="C16" s="4">
        <v>7703595</v>
      </c>
      <c r="D16" s="5" t="s">
        <v>334</v>
      </c>
      <c r="E16" s="5" t="s">
        <v>17</v>
      </c>
      <c r="F16" s="5" t="s">
        <v>52</v>
      </c>
      <c r="G16" s="5" t="s">
        <v>19</v>
      </c>
      <c r="H16" s="5" t="s">
        <v>32</v>
      </c>
      <c r="I16" s="4">
        <v>14</v>
      </c>
      <c r="J16" s="14" t="s">
        <v>335</v>
      </c>
      <c r="K16" s="5" t="s">
        <v>336</v>
      </c>
      <c r="L16" s="4">
        <v>997565823</v>
      </c>
      <c r="M16" s="5"/>
    </row>
    <row r="17" spans="2:13">
      <c r="B17" s="4">
        <v>9</v>
      </c>
      <c r="C17" s="4">
        <v>40139812</v>
      </c>
      <c r="D17" s="5" t="s">
        <v>337</v>
      </c>
      <c r="E17" s="5" t="s">
        <v>17</v>
      </c>
      <c r="F17" s="5" t="s">
        <v>52</v>
      </c>
      <c r="G17" s="5" t="s">
        <v>19</v>
      </c>
      <c r="H17" s="5" t="s">
        <v>32</v>
      </c>
      <c r="I17" s="4">
        <v>14</v>
      </c>
      <c r="J17" s="14" t="s">
        <v>338</v>
      </c>
      <c r="K17" s="5" t="s">
        <v>339</v>
      </c>
      <c r="L17" s="4">
        <v>987967937</v>
      </c>
      <c r="M17" s="5"/>
    </row>
    <row r="18" spans="2:13">
      <c r="B18" s="4">
        <v>10</v>
      </c>
      <c r="C18" s="4">
        <v>21462854</v>
      </c>
      <c r="D18" s="5" t="s">
        <v>340</v>
      </c>
      <c r="E18" s="5" t="s">
        <v>17</v>
      </c>
      <c r="F18" s="5" t="s">
        <v>18</v>
      </c>
      <c r="G18" s="5" t="s">
        <v>40</v>
      </c>
      <c r="H18" s="5" t="s">
        <v>20</v>
      </c>
      <c r="I18" s="4">
        <v>15</v>
      </c>
      <c r="J18" s="14" t="s">
        <v>341</v>
      </c>
      <c r="K18" s="5" t="s">
        <v>342</v>
      </c>
      <c r="L18" s="4">
        <v>955823795</v>
      </c>
      <c r="M18" s="5"/>
    </row>
    <row r="19" spans="2:13" ht="27">
      <c r="B19" s="4">
        <v>11</v>
      </c>
      <c r="C19" s="4">
        <v>9100625</v>
      </c>
      <c r="D19" s="5" t="s">
        <v>343</v>
      </c>
      <c r="E19" s="5" t="s">
        <v>17</v>
      </c>
      <c r="F19" s="5" t="s">
        <v>36</v>
      </c>
      <c r="G19" s="5" t="s">
        <v>40</v>
      </c>
      <c r="H19" s="5" t="s">
        <v>25</v>
      </c>
      <c r="I19" s="4">
        <v>18</v>
      </c>
      <c r="J19" s="14" t="s">
        <v>344</v>
      </c>
      <c r="K19" s="5" t="s">
        <v>345</v>
      </c>
      <c r="L19" s="12" t="s">
        <v>346</v>
      </c>
      <c r="M19" s="5"/>
    </row>
    <row r="20" spans="2:13">
      <c r="B20" s="4">
        <v>12</v>
      </c>
      <c r="C20" s="4">
        <v>41545772</v>
      </c>
      <c r="D20" s="5" t="s">
        <v>347</v>
      </c>
      <c r="E20" s="5" t="s">
        <v>17</v>
      </c>
      <c r="F20" s="5" t="s">
        <v>30</v>
      </c>
      <c r="G20" s="5" t="s">
        <v>31</v>
      </c>
      <c r="H20" s="5" t="s">
        <v>32</v>
      </c>
      <c r="I20" s="4">
        <v>10</v>
      </c>
      <c r="J20" s="14" t="s">
        <v>348</v>
      </c>
      <c r="K20" s="5" t="s">
        <v>349</v>
      </c>
      <c r="L20" s="4" t="s">
        <v>350</v>
      </c>
      <c r="M20" s="5"/>
    </row>
    <row r="21" spans="2:13">
      <c r="B21" s="4">
        <v>13</v>
      </c>
      <c r="C21" s="4">
        <v>72676034</v>
      </c>
      <c r="D21" s="5" t="s">
        <v>351</v>
      </c>
      <c r="E21" s="5" t="s">
        <v>17</v>
      </c>
      <c r="F21" s="5" t="s">
        <v>36</v>
      </c>
      <c r="G21" s="5" t="s">
        <v>40</v>
      </c>
      <c r="H21" s="5" t="s">
        <v>25</v>
      </c>
      <c r="I21" s="4">
        <v>12</v>
      </c>
      <c r="J21" s="14" t="s">
        <v>121</v>
      </c>
      <c r="K21" s="5" t="s">
        <v>352</v>
      </c>
      <c r="L21" s="4">
        <v>979042565</v>
      </c>
      <c r="M21" s="5"/>
    </row>
    <row r="22" spans="2:13">
      <c r="B22" s="4">
        <v>14</v>
      </c>
      <c r="C22" s="4">
        <v>6160287</v>
      </c>
      <c r="D22" s="5" t="s">
        <v>353</v>
      </c>
      <c r="E22" s="5" t="s">
        <v>17</v>
      </c>
      <c r="F22" s="5" t="s">
        <v>64</v>
      </c>
      <c r="G22" s="5" t="s">
        <v>92</v>
      </c>
      <c r="H22" s="5" t="s">
        <v>32</v>
      </c>
      <c r="I22" s="4">
        <v>14</v>
      </c>
      <c r="J22" s="14" t="s">
        <v>149</v>
      </c>
      <c r="K22" s="5" t="s">
        <v>354</v>
      </c>
      <c r="L22" s="4">
        <v>999749496</v>
      </c>
      <c r="M22" s="5"/>
    </row>
    <row r="23" spans="2:13">
      <c r="B23" s="4">
        <v>15</v>
      </c>
      <c r="C23" s="4">
        <v>15727165</v>
      </c>
      <c r="D23" s="5" t="s">
        <v>355</v>
      </c>
      <c r="E23" s="5" t="s">
        <v>17</v>
      </c>
      <c r="F23" s="5" t="s">
        <v>60</v>
      </c>
      <c r="G23" s="5" t="s">
        <v>68</v>
      </c>
      <c r="H23" s="5" t="s">
        <v>25</v>
      </c>
      <c r="I23" s="4">
        <v>16</v>
      </c>
      <c r="J23" s="14" t="s">
        <v>356</v>
      </c>
      <c r="K23" s="5" t="s">
        <v>357</v>
      </c>
      <c r="L23" s="4">
        <v>988490896</v>
      </c>
      <c r="M23" s="5"/>
    </row>
    <row r="24" spans="2:13">
      <c r="B24" s="4">
        <v>16</v>
      </c>
      <c r="C24" s="4">
        <v>6276541</v>
      </c>
      <c r="D24" s="5" t="s">
        <v>358</v>
      </c>
      <c r="E24" s="5" t="s">
        <v>17</v>
      </c>
      <c r="F24" s="5" t="s">
        <v>52</v>
      </c>
      <c r="G24" s="5" t="s">
        <v>19</v>
      </c>
      <c r="H24" s="5" t="s">
        <v>25</v>
      </c>
      <c r="I24" s="4">
        <v>14</v>
      </c>
      <c r="J24" s="14" t="s">
        <v>359</v>
      </c>
      <c r="K24" s="5" t="s">
        <v>360</v>
      </c>
      <c r="L24" s="4">
        <v>988178147</v>
      </c>
      <c r="M24" s="5"/>
    </row>
    <row r="25" spans="2:13">
      <c r="B25" s="4">
        <v>17</v>
      </c>
      <c r="C25" s="4">
        <v>42363036</v>
      </c>
      <c r="D25" s="5" t="s">
        <v>361</v>
      </c>
      <c r="E25" s="5" t="s">
        <v>17</v>
      </c>
      <c r="F25" s="5" t="s">
        <v>30</v>
      </c>
      <c r="G25" s="5" t="s">
        <v>31</v>
      </c>
      <c r="H25" s="5" t="s">
        <v>32</v>
      </c>
      <c r="I25" s="4">
        <v>11</v>
      </c>
      <c r="J25" s="14" t="s">
        <v>362</v>
      </c>
      <c r="K25" s="5" t="s">
        <v>363</v>
      </c>
      <c r="L25" s="4">
        <v>959858065</v>
      </c>
      <c r="M25" s="5"/>
    </row>
    <row r="26" spans="2:13">
      <c r="B26" s="4">
        <v>18</v>
      </c>
      <c r="C26" s="4">
        <v>10350121</v>
      </c>
      <c r="D26" s="5" t="s">
        <v>364</v>
      </c>
      <c r="E26" s="5" t="s">
        <v>17</v>
      </c>
      <c r="F26" s="5" t="s">
        <v>18</v>
      </c>
      <c r="G26" s="5" t="s">
        <v>19</v>
      </c>
      <c r="H26" s="5" t="s">
        <v>20</v>
      </c>
      <c r="I26" s="4">
        <v>12</v>
      </c>
      <c r="J26" s="14" t="s">
        <v>365</v>
      </c>
      <c r="K26" s="5" t="s">
        <v>366</v>
      </c>
      <c r="L26" s="4">
        <v>949659055</v>
      </c>
      <c r="M26" s="5"/>
    </row>
    <row r="27" spans="2:13">
      <c r="B27" s="4">
        <v>19</v>
      </c>
      <c r="C27" s="4">
        <v>43036474</v>
      </c>
      <c r="D27" s="5" t="s">
        <v>367</v>
      </c>
      <c r="E27" s="5" t="s">
        <v>17</v>
      </c>
      <c r="F27" s="5" t="s">
        <v>30</v>
      </c>
      <c r="G27" s="5" t="s">
        <v>92</v>
      </c>
      <c r="H27" s="5" t="s">
        <v>32</v>
      </c>
      <c r="I27" s="4">
        <v>15</v>
      </c>
      <c r="J27" s="14" t="s">
        <v>368</v>
      </c>
      <c r="K27" s="5" t="s">
        <v>369</v>
      </c>
      <c r="L27" s="4">
        <v>932948721</v>
      </c>
      <c r="M27" s="5"/>
    </row>
    <row r="28" spans="2:13">
      <c r="B28" s="4">
        <v>20</v>
      </c>
      <c r="C28" s="4">
        <v>43456897</v>
      </c>
      <c r="D28" s="5" t="s">
        <v>370</v>
      </c>
      <c r="E28" s="5" t="s">
        <v>17</v>
      </c>
      <c r="F28" s="5" t="s">
        <v>52</v>
      </c>
      <c r="G28" s="5" t="s">
        <v>40</v>
      </c>
      <c r="H28" s="5" t="s">
        <v>32</v>
      </c>
      <c r="I28" s="4">
        <v>15</v>
      </c>
      <c r="J28" s="14" t="s">
        <v>229</v>
      </c>
      <c r="K28" s="5" t="s">
        <v>371</v>
      </c>
      <c r="L28" s="4">
        <v>968974470</v>
      </c>
      <c r="M28" s="5"/>
    </row>
    <row r="29" spans="2:13">
      <c r="B29" s="4">
        <v>21</v>
      </c>
      <c r="C29" s="4">
        <v>41485219</v>
      </c>
      <c r="D29" s="5" t="s">
        <v>372</v>
      </c>
      <c r="E29" s="5" t="s">
        <v>17</v>
      </c>
      <c r="F29" s="5" t="s">
        <v>36</v>
      </c>
      <c r="G29" s="5" t="s">
        <v>19</v>
      </c>
      <c r="H29" s="5" t="s">
        <v>32</v>
      </c>
      <c r="I29" s="4">
        <v>12</v>
      </c>
      <c r="J29" s="14" t="s">
        <v>373</v>
      </c>
      <c r="K29" s="5" t="s">
        <v>374</v>
      </c>
      <c r="L29" s="4">
        <v>957905278</v>
      </c>
      <c r="M29" s="5"/>
    </row>
    <row r="30" spans="2:13">
      <c r="B30" s="4">
        <v>22</v>
      </c>
      <c r="C30" s="4">
        <v>22309591</v>
      </c>
      <c r="D30" s="5" t="s">
        <v>375</v>
      </c>
      <c r="E30" s="5" t="s">
        <v>17</v>
      </c>
      <c r="F30" s="5" t="s">
        <v>30</v>
      </c>
      <c r="G30" s="5" t="s">
        <v>92</v>
      </c>
      <c r="H30" s="5" t="s">
        <v>32</v>
      </c>
      <c r="I30" s="4">
        <v>15</v>
      </c>
      <c r="J30" s="14" t="s">
        <v>376</v>
      </c>
      <c r="K30" s="5" t="s">
        <v>377</v>
      </c>
      <c r="L30" s="4">
        <v>984474904</v>
      </c>
      <c r="M30" s="5"/>
    </row>
    <row r="31" spans="2:13">
      <c r="B31" s="4">
        <v>23</v>
      </c>
      <c r="C31" s="4">
        <v>7469293</v>
      </c>
      <c r="D31" s="5" t="s">
        <v>378</v>
      </c>
      <c r="E31" s="5" t="s">
        <v>17</v>
      </c>
      <c r="F31" s="5" t="s">
        <v>36</v>
      </c>
      <c r="G31" s="5" t="s">
        <v>40</v>
      </c>
      <c r="H31" s="5" t="s">
        <v>32</v>
      </c>
      <c r="I31" s="4">
        <v>12</v>
      </c>
      <c r="J31" s="14" t="s">
        <v>379</v>
      </c>
      <c r="K31" s="5" t="s">
        <v>380</v>
      </c>
      <c r="L31" s="4"/>
      <c r="M31" s="5"/>
    </row>
    <row r="32" spans="2:13">
      <c r="B32" s="4">
        <v>24</v>
      </c>
      <c r="C32" s="4">
        <v>21522829</v>
      </c>
      <c r="D32" s="5" t="s">
        <v>381</v>
      </c>
      <c r="E32" s="5" t="s">
        <v>17</v>
      </c>
      <c r="F32" s="5" t="s">
        <v>36</v>
      </c>
      <c r="G32" s="5" t="s">
        <v>40</v>
      </c>
      <c r="H32" s="5" t="s">
        <v>32</v>
      </c>
      <c r="I32" s="4">
        <v>16</v>
      </c>
      <c r="J32" s="14" t="s">
        <v>382</v>
      </c>
      <c r="K32" s="5" t="s">
        <v>383</v>
      </c>
      <c r="L32" s="4">
        <v>978580911</v>
      </c>
      <c r="M32" s="5"/>
    </row>
    <row r="33" spans="2:13">
      <c r="B33" s="4">
        <v>25</v>
      </c>
      <c r="C33" s="4">
        <v>70504650</v>
      </c>
      <c r="D33" s="5" t="s">
        <v>384</v>
      </c>
      <c r="E33" s="5" t="s">
        <v>17</v>
      </c>
      <c r="F33" s="5" t="s">
        <v>30</v>
      </c>
      <c r="G33" s="5" t="s">
        <v>92</v>
      </c>
      <c r="H33" s="5" t="s">
        <v>32</v>
      </c>
      <c r="I33" s="4">
        <v>18</v>
      </c>
      <c r="J33" s="14" t="s">
        <v>385</v>
      </c>
      <c r="K33" s="5" t="s">
        <v>386</v>
      </c>
      <c r="L33" s="4">
        <v>930516314</v>
      </c>
      <c r="M33" s="5"/>
    </row>
    <row r="34" spans="2:13">
      <c r="B34" s="4">
        <v>26</v>
      </c>
      <c r="C34" s="4">
        <v>43429701</v>
      </c>
      <c r="D34" s="5" t="s">
        <v>387</v>
      </c>
      <c r="E34" s="5" t="s">
        <v>17</v>
      </c>
      <c r="F34" s="5" t="s">
        <v>52</v>
      </c>
      <c r="G34" s="5" t="s">
        <v>40</v>
      </c>
      <c r="H34" s="5" t="s">
        <v>32</v>
      </c>
      <c r="I34" s="4">
        <v>17</v>
      </c>
      <c r="J34" s="14" t="s">
        <v>388</v>
      </c>
      <c r="K34" s="5" t="s">
        <v>389</v>
      </c>
      <c r="L34" s="4">
        <v>923913515</v>
      </c>
      <c r="M34" s="5"/>
    </row>
    <row r="35" spans="2:13">
      <c r="B35" s="4">
        <v>27</v>
      </c>
      <c r="C35" s="4">
        <v>41222348</v>
      </c>
      <c r="D35" s="5" t="s">
        <v>390</v>
      </c>
      <c r="E35" s="5" t="s">
        <v>17</v>
      </c>
      <c r="F35" s="5" t="s">
        <v>60</v>
      </c>
      <c r="G35" s="5" t="s">
        <v>40</v>
      </c>
      <c r="H35" s="5" t="s">
        <v>32</v>
      </c>
      <c r="I35" s="4">
        <v>14</v>
      </c>
      <c r="J35" s="14" t="s">
        <v>391</v>
      </c>
      <c r="K35" s="5" t="s">
        <v>392</v>
      </c>
      <c r="L35" s="4">
        <v>931900971</v>
      </c>
      <c r="M35" s="5"/>
    </row>
    <row r="36" spans="2:13">
      <c r="B36" s="4">
        <v>28</v>
      </c>
      <c r="C36" s="4">
        <v>40965725</v>
      </c>
      <c r="D36" s="5" t="s">
        <v>393</v>
      </c>
      <c r="E36" s="5" t="s">
        <v>17</v>
      </c>
      <c r="F36" s="5" t="s">
        <v>394</v>
      </c>
      <c r="G36" s="5" t="s">
        <v>19</v>
      </c>
      <c r="H36" s="5" t="s">
        <v>32</v>
      </c>
      <c r="I36" s="4">
        <v>15</v>
      </c>
      <c r="J36" s="14" t="s">
        <v>395</v>
      </c>
      <c r="K36" s="5" t="s">
        <v>396</v>
      </c>
      <c r="L36" s="4">
        <v>961851421</v>
      </c>
      <c r="M36" s="5"/>
    </row>
    <row r="37" spans="2:13">
      <c r="B37" s="4">
        <v>29</v>
      </c>
      <c r="C37" s="4">
        <v>42657141</v>
      </c>
      <c r="D37" s="5" t="s">
        <v>397</v>
      </c>
      <c r="E37" s="5" t="s">
        <v>17</v>
      </c>
      <c r="F37" s="5" t="s">
        <v>177</v>
      </c>
      <c r="G37" s="5" t="s">
        <v>40</v>
      </c>
      <c r="H37" s="5" t="s">
        <v>32</v>
      </c>
      <c r="I37" s="4">
        <v>12</v>
      </c>
      <c r="J37" s="14" t="s">
        <v>181</v>
      </c>
      <c r="K37" s="5" t="s">
        <v>398</v>
      </c>
      <c r="L37" s="4">
        <v>994331971</v>
      </c>
      <c r="M37" s="5"/>
    </row>
    <row r="38" spans="2:13">
      <c r="B38" s="4">
        <v>30</v>
      </c>
      <c r="C38" s="4">
        <v>46941666</v>
      </c>
      <c r="D38" s="5" t="s">
        <v>399</v>
      </c>
      <c r="E38" s="5" t="s">
        <v>17</v>
      </c>
      <c r="F38" s="5" t="s">
        <v>30</v>
      </c>
      <c r="G38" s="5" t="s">
        <v>31</v>
      </c>
      <c r="H38" s="5" t="s">
        <v>32</v>
      </c>
      <c r="I38" s="4">
        <v>11</v>
      </c>
      <c r="J38" s="14" t="s">
        <v>400</v>
      </c>
      <c r="K38" s="5" t="s">
        <v>401</v>
      </c>
      <c r="L38" s="4" t="s">
        <v>402</v>
      </c>
      <c r="M38" s="5"/>
    </row>
    <row r="39" spans="2:13">
      <c r="B39" s="4">
        <v>31</v>
      </c>
      <c r="C39" s="4">
        <v>71472171</v>
      </c>
      <c r="D39" s="5" t="s">
        <v>403</v>
      </c>
      <c r="E39" s="5" t="s">
        <v>17</v>
      </c>
      <c r="F39" s="5" t="s">
        <v>177</v>
      </c>
      <c r="G39" s="5" t="s">
        <v>40</v>
      </c>
      <c r="H39" s="5" t="s">
        <v>25</v>
      </c>
      <c r="I39" s="4">
        <v>16</v>
      </c>
      <c r="J39" s="14" t="s">
        <v>320</v>
      </c>
      <c r="K39" s="5" t="s">
        <v>404</v>
      </c>
      <c r="L39" s="4">
        <v>990636567</v>
      </c>
      <c r="M39" s="5"/>
    </row>
    <row r="40" spans="2:13">
      <c r="B40" s="4">
        <v>32</v>
      </c>
      <c r="C40" s="4">
        <v>21560357</v>
      </c>
      <c r="D40" s="5" t="s">
        <v>405</v>
      </c>
      <c r="E40" s="5" t="s">
        <v>17</v>
      </c>
      <c r="F40" s="5" t="s">
        <v>30</v>
      </c>
      <c r="G40" s="5" t="s">
        <v>31</v>
      </c>
      <c r="H40" s="5" t="s">
        <v>32</v>
      </c>
      <c r="I40" s="4">
        <v>16</v>
      </c>
      <c r="J40" s="14" t="s">
        <v>406</v>
      </c>
      <c r="K40" s="5" t="s">
        <v>407</v>
      </c>
      <c r="L40" s="4">
        <v>939473322</v>
      </c>
      <c r="M40" s="5"/>
    </row>
    <row r="41" spans="2:13">
      <c r="B41" s="4">
        <v>33</v>
      </c>
      <c r="C41" s="4">
        <v>70539299</v>
      </c>
      <c r="D41" s="5" t="s">
        <v>408</v>
      </c>
      <c r="E41" s="5" t="s">
        <v>17</v>
      </c>
      <c r="F41" s="5" t="s">
        <v>36</v>
      </c>
      <c r="G41" s="5" t="s">
        <v>40</v>
      </c>
      <c r="H41" s="5" t="s">
        <v>25</v>
      </c>
      <c r="I41" s="4">
        <v>16</v>
      </c>
      <c r="J41" s="14" t="s">
        <v>409</v>
      </c>
      <c r="K41" s="5" t="s">
        <v>410</v>
      </c>
      <c r="L41" s="4">
        <v>922933831</v>
      </c>
      <c r="M41" s="5"/>
    </row>
    <row r="42" spans="2:13" ht="27">
      <c r="B42" s="4">
        <v>34</v>
      </c>
      <c r="C42" s="4">
        <v>41430382</v>
      </c>
      <c r="D42" s="5" t="s">
        <v>411</v>
      </c>
      <c r="E42" s="5" t="s">
        <v>17</v>
      </c>
      <c r="F42" s="5" t="s">
        <v>64</v>
      </c>
      <c r="G42" s="5" t="s">
        <v>31</v>
      </c>
      <c r="H42" s="5" t="s">
        <v>32</v>
      </c>
      <c r="I42" s="4">
        <v>8</v>
      </c>
      <c r="J42" s="14" t="s">
        <v>412</v>
      </c>
      <c r="K42" s="5" t="s">
        <v>413</v>
      </c>
      <c r="L42" s="12" t="s">
        <v>414</v>
      </c>
      <c r="M42" s="5"/>
    </row>
    <row r="43" spans="2:13">
      <c r="B43" s="4">
        <v>35</v>
      </c>
      <c r="C43" s="4">
        <v>21547326</v>
      </c>
      <c r="D43" s="5" t="s">
        <v>415</v>
      </c>
      <c r="E43" s="5" t="s">
        <v>17</v>
      </c>
      <c r="F43" s="5" t="s">
        <v>52</v>
      </c>
      <c r="G43" s="5" t="s">
        <v>19</v>
      </c>
      <c r="H43" s="5" t="s">
        <v>20</v>
      </c>
      <c r="I43" s="4">
        <v>15</v>
      </c>
      <c r="J43" s="14" t="s">
        <v>416</v>
      </c>
      <c r="K43" s="5" t="s">
        <v>417</v>
      </c>
      <c r="L43" s="4" t="s">
        <v>418</v>
      </c>
      <c r="M43" s="5"/>
    </row>
    <row r="44" spans="2:13">
      <c r="B44" s="4">
        <v>36</v>
      </c>
      <c r="C44" s="4">
        <v>21800872</v>
      </c>
      <c r="D44" s="5" t="s">
        <v>419</v>
      </c>
      <c r="E44" s="5" t="s">
        <v>17</v>
      </c>
      <c r="F44" s="5" t="s">
        <v>30</v>
      </c>
      <c r="G44" s="5" t="s">
        <v>31</v>
      </c>
      <c r="H44" s="5" t="s">
        <v>32</v>
      </c>
      <c r="I44" s="4">
        <v>11</v>
      </c>
      <c r="J44" s="14" t="s">
        <v>420</v>
      </c>
      <c r="K44" s="5" t="s">
        <v>421</v>
      </c>
      <c r="L44" s="4">
        <v>956622171</v>
      </c>
      <c r="M44" s="5"/>
    </row>
    <row r="45" spans="2:13">
      <c r="B45" s="4">
        <v>37</v>
      </c>
      <c r="C45" s="20">
        <v>40509747</v>
      </c>
      <c r="D45" s="19" t="s">
        <v>422</v>
      </c>
      <c r="E45" s="5" t="s">
        <v>17</v>
      </c>
      <c r="F45" s="5" t="s">
        <v>423</v>
      </c>
      <c r="G45" s="5" t="s">
        <v>423</v>
      </c>
      <c r="H45" s="5" t="s">
        <v>32</v>
      </c>
      <c r="I45" s="4">
        <v>16</v>
      </c>
      <c r="J45" s="4"/>
      <c r="K45" s="5" t="e">
        <v>#N/A</v>
      </c>
      <c r="L45" s="4" t="e">
        <v>#N/A</v>
      </c>
      <c r="M45" s="5"/>
    </row>
    <row r="46" spans="2:13">
      <c r="B46" s="4">
        <v>38</v>
      </c>
      <c r="C46" s="4">
        <v>45813502</v>
      </c>
      <c r="D46" s="5" t="s">
        <v>424</v>
      </c>
      <c r="E46" s="5" t="s">
        <v>17</v>
      </c>
      <c r="F46" s="5" t="s">
        <v>52</v>
      </c>
      <c r="G46" s="5" t="s">
        <v>40</v>
      </c>
      <c r="H46" s="5" t="s">
        <v>41</v>
      </c>
      <c r="I46" s="4">
        <v>13</v>
      </c>
      <c r="J46" s="14" t="s">
        <v>425</v>
      </c>
      <c r="K46" s="5" t="s">
        <v>426</v>
      </c>
      <c r="L46" s="4">
        <v>910548973</v>
      </c>
      <c r="M46" s="5"/>
    </row>
    <row r="47" spans="2:13">
      <c r="B47" s="4">
        <v>39</v>
      </c>
      <c r="C47" s="4">
        <v>21541988</v>
      </c>
      <c r="D47" s="5" t="s">
        <v>427</v>
      </c>
      <c r="E47" s="5" t="s">
        <v>17</v>
      </c>
      <c r="F47" s="5" t="s">
        <v>18</v>
      </c>
      <c r="G47" s="5" t="s">
        <v>40</v>
      </c>
      <c r="H47" s="5" t="s">
        <v>20</v>
      </c>
      <c r="I47" s="4">
        <v>12</v>
      </c>
      <c r="J47" s="14" t="s">
        <v>428</v>
      </c>
      <c r="K47" s="5" t="s">
        <v>429</v>
      </c>
      <c r="L47" s="4">
        <v>953796413</v>
      </c>
      <c r="M47" s="5"/>
    </row>
    <row r="48" spans="2:13">
      <c r="B48" s="4">
        <v>40</v>
      </c>
      <c r="C48" s="4">
        <v>15738847</v>
      </c>
      <c r="D48" s="5" t="s">
        <v>430</v>
      </c>
      <c r="E48" s="5" t="s">
        <v>17</v>
      </c>
      <c r="F48" s="5" t="s">
        <v>60</v>
      </c>
      <c r="G48" s="5" t="s">
        <v>68</v>
      </c>
      <c r="H48" s="5" t="s">
        <v>32</v>
      </c>
      <c r="I48" s="4">
        <v>19</v>
      </c>
      <c r="J48" s="14" t="s">
        <v>431</v>
      </c>
      <c r="K48" s="5" t="s">
        <v>432</v>
      </c>
      <c r="L48" s="4">
        <v>938439418</v>
      </c>
      <c r="M48" s="5"/>
    </row>
    <row r="49" spans="2:13">
      <c r="B49" s="4">
        <v>41</v>
      </c>
      <c r="C49" s="4">
        <v>42709906</v>
      </c>
      <c r="D49" s="5" t="s">
        <v>433</v>
      </c>
      <c r="E49" s="5" t="s">
        <v>17</v>
      </c>
      <c r="F49" s="5" t="s">
        <v>24</v>
      </c>
      <c r="G49" s="5" t="s">
        <v>40</v>
      </c>
      <c r="H49" s="5" t="s">
        <v>32</v>
      </c>
      <c r="I49" s="4">
        <v>14</v>
      </c>
      <c r="J49" s="14" t="s">
        <v>431</v>
      </c>
      <c r="K49" s="5" t="s">
        <v>434</v>
      </c>
      <c r="L49" s="4">
        <v>945351845</v>
      </c>
      <c r="M49" s="5"/>
    </row>
    <row r="50" spans="2:13">
      <c r="B50" s="4">
        <v>42</v>
      </c>
      <c r="C50" s="4">
        <v>43809799</v>
      </c>
      <c r="D50" s="5" t="s">
        <v>435</v>
      </c>
      <c r="E50" s="5" t="s">
        <v>17</v>
      </c>
      <c r="F50" s="5" t="s">
        <v>18</v>
      </c>
      <c r="G50" s="5" t="s">
        <v>40</v>
      </c>
      <c r="H50" s="5" t="s">
        <v>25</v>
      </c>
      <c r="I50" s="4">
        <v>14</v>
      </c>
      <c r="J50" s="14" t="s">
        <v>26</v>
      </c>
      <c r="K50" s="5" t="s">
        <v>436</v>
      </c>
      <c r="L50" s="4">
        <v>953804610</v>
      </c>
      <c r="M50" s="5"/>
    </row>
    <row r="51" spans="2:13">
      <c r="B51" s="4">
        <v>43</v>
      </c>
      <c r="C51" s="4">
        <v>42670596</v>
      </c>
      <c r="D51" s="5" t="s">
        <v>437</v>
      </c>
      <c r="E51" s="5" t="s">
        <v>17</v>
      </c>
      <c r="F51" s="5" t="s">
        <v>60</v>
      </c>
      <c r="G51" s="5" t="s">
        <v>40</v>
      </c>
      <c r="H51" s="5" t="s">
        <v>32</v>
      </c>
      <c r="I51" s="4">
        <v>15</v>
      </c>
      <c r="J51" s="14" t="s">
        <v>438</v>
      </c>
      <c r="K51" s="5" t="s">
        <v>439</v>
      </c>
      <c r="L51" s="4">
        <v>916694707</v>
      </c>
      <c r="M51" s="5"/>
    </row>
    <row r="52" spans="2:13">
      <c r="B52" s="4">
        <v>44</v>
      </c>
      <c r="C52" s="4">
        <v>70271781</v>
      </c>
      <c r="D52" s="5" t="s">
        <v>440</v>
      </c>
      <c r="E52" s="5" t="s">
        <v>17</v>
      </c>
      <c r="F52" s="5" t="s">
        <v>52</v>
      </c>
      <c r="G52" s="5" t="s">
        <v>40</v>
      </c>
      <c r="H52" s="5" t="s">
        <v>32</v>
      </c>
      <c r="I52" s="4">
        <v>19</v>
      </c>
      <c r="J52" s="14" t="s">
        <v>441</v>
      </c>
      <c r="K52" s="5" t="s">
        <v>442</v>
      </c>
      <c r="L52" s="4">
        <v>933954913</v>
      </c>
      <c r="M52" s="5"/>
    </row>
    <row r="53" spans="2:13">
      <c r="B53" s="4">
        <v>45</v>
      </c>
      <c r="C53" s="4">
        <v>15722656</v>
      </c>
      <c r="D53" s="5" t="s">
        <v>443</v>
      </c>
      <c r="E53" s="5" t="s">
        <v>17</v>
      </c>
      <c r="F53" s="5" t="s">
        <v>177</v>
      </c>
      <c r="G53" s="5" t="s">
        <v>68</v>
      </c>
      <c r="H53" s="5" t="s">
        <v>32</v>
      </c>
      <c r="I53" s="4">
        <v>15</v>
      </c>
      <c r="J53" s="14" t="s">
        <v>128</v>
      </c>
      <c r="K53" s="5" t="s">
        <v>444</v>
      </c>
      <c r="L53" s="4">
        <v>992560811</v>
      </c>
      <c r="M53" s="5"/>
    </row>
    <row r="54" spans="2:13">
      <c r="B54" s="4">
        <v>46</v>
      </c>
      <c r="C54" s="4">
        <v>21461801</v>
      </c>
      <c r="D54" s="5" t="s">
        <v>445</v>
      </c>
      <c r="E54" s="5" t="s">
        <v>17</v>
      </c>
      <c r="F54" s="5" t="s">
        <v>30</v>
      </c>
      <c r="G54" s="5" t="s">
        <v>92</v>
      </c>
      <c r="H54" s="5" t="s">
        <v>20</v>
      </c>
      <c r="I54" s="4">
        <v>16</v>
      </c>
      <c r="J54" s="14" t="s">
        <v>93</v>
      </c>
      <c r="K54" s="5" t="s">
        <v>446</v>
      </c>
      <c r="L54" s="4">
        <v>951357156</v>
      </c>
      <c r="M54" s="5"/>
    </row>
    <row r="55" spans="2:13">
      <c r="B55" s="4">
        <v>47</v>
      </c>
      <c r="C55" s="4">
        <v>15617206</v>
      </c>
      <c r="D55" s="5" t="s">
        <v>447</v>
      </c>
      <c r="E55" s="5" t="s">
        <v>17</v>
      </c>
      <c r="F55" s="5" t="s">
        <v>177</v>
      </c>
      <c r="G55" s="5" t="s">
        <v>68</v>
      </c>
      <c r="H55" s="5" t="s">
        <v>32</v>
      </c>
      <c r="I55" s="4">
        <v>16</v>
      </c>
      <c r="J55" s="14" t="s">
        <v>137</v>
      </c>
      <c r="K55" s="5" t="s">
        <v>448</v>
      </c>
      <c r="L55" s="4">
        <v>998944084</v>
      </c>
      <c r="M55" s="5"/>
    </row>
    <row r="56" spans="2:13">
      <c r="B56" s="4">
        <v>48</v>
      </c>
      <c r="C56" s="4">
        <v>18160918</v>
      </c>
      <c r="D56" s="5" t="s">
        <v>449</v>
      </c>
      <c r="E56" s="5" t="s">
        <v>17</v>
      </c>
      <c r="F56" s="5" t="s">
        <v>18</v>
      </c>
      <c r="G56" s="5" t="s">
        <v>19</v>
      </c>
      <c r="H56" s="5" t="s">
        <v>20</v>
      </c>
      <c r="I56" s="4">
        <v>13</v>
      </c>
      <c r="J56" s="14" t="s">
        <v>450</v>
      </c>
      <c r="K56" s="5" t="s">
        <v>451</v>
      </c>
      <c r="L56" s="4">
        <v>948485979</v>
      </c>
      <c r="M56" s="5"/>
    </row>
    <row r="57" spans="2:13">
      <c r="B57" s="4">
        <v>49</v>
      </c>
      <c r="C57" s="4">
        <v>21541361</v>
      </c>
      <c r="D57" s="5" t="s">
        <v>452</v>
      </c>
      <c r="E57" s="5" t="s">
        <v>17</v>
      </c>
      <c r="F57" s="5" t="s">
        <v>52</v>
      </c>
      <c r="G57" s="5" t="s">
        <v>40</v>
      </c>
      <c r="H57" s="5" t="s">
        <v>25</v>
      </c>
      <c r="I57" s="4">
        <v>16</v>
      </c>
      <c r="J57" s="14" t="s">
        <v>453</v>
      </c>
      <c r="K57" s="5" t="s">
        <v>454</v>
      </c>
      <c r="L57" s="4">
        <v>972976145</v>
      </c>
      <c r="M57" s="5"/>
    </row>
    <row r="58" spans="2:13">
      <c r="B58" s="4">
        <v>50</v>
      </c>
      <c r="C58" s="4">
        <v>21531247</v>
      </c>
      <c r="D58" s="5" t="s">
        <v>455</v>
      </c>
      <c r="E58" s="5" t="s">
        <v>17</v>
      </c>
      <c r="F58" s="5" t="s">
        <v>30</v>
      </c>
      <c r="G58" s="5" t="s">
        <v>31</v>
      </c>
      <c r="H58" s="5" t="s">
        <v>32</v>
      </c>
      <c r="I58" s="4">
        <v>11</v>
      </c>
      <c r="J58" s="14" t="s">
        <v>391</v>
      </c>
      <c r="K58" s="5" t="s">
        <v>456</v>
      </c>
      <c r="L58" s="4">
        <v>969930200</v>
      </c>
      <c r="M58" s="5"/>
    </row>
    <row r="59" spans="2:13">
      <c r="B59" s="4">
        <v>51</v>
      </c>
      <c r="C59" s="4">
        <v>21575934</v>
      </c>
      <c r="D59" s="5" t="s">
        <v>457</v>
      </c>
      <c r="E59" s="5" t="s">
        <v>17</v>
      </c>
      <c r="F59" s="5" t="s">
        <v>206</v>
      </c>
      <c r="G59" s="5" t="s">
        <v>31</v>
      </c>
      <c r="H59" s="5" t="s">
        <v>41</v>
      </c>
      <c r="I59" s="4">
        <v>15</v>
      </c>
      <c r="J59" s="14" t="s">
        <v>143</v>
      </c>
      <c r="K59" s="5" t="s">
        <v>458</v>
      </c>
      <c r="L59" s="4">
        <v>956106541</v>
      </c>
      <c r="M59" s="5"/>
    </row>
    <row r="60" spans="2:13">
      <c r="B60" s="4">
        <v>52</v>
      </c>
      <c r="C60" s="4">
        <v>21558261</v>
      </c>
      <c r="D60" s="5" t="s">
        <v>459</v>
      </c>
      <c r="E60" s="5" t="s">
        <v>17</v>
      </c>
      <c r="F60" s="5" t="s">
        <v>60</v>
      </c>
      <c r="G60" s="5" t="s">
        <v>40</v>
      </c>
      <c r="H60" s="5" t="s">
        <v>32</v>
      </c>
      <c r="I60" s="4">
        <v>18</v>
      </c>
      <c r="J60" s="14" t="s">
        <v>460</v>
      </c>
      <c r="K60" s="5" t="s">
        <v>461</v>
      </c>
      <c r="L60" s="4">
        <v>947021252</v>
      </c>
      <c r="M60" s="5"/>
    </row>
    <row r="61" spans="2:13">
      <c r="B61" s="4">
        <v>53</v>
      </c>
      <c r="C61" s="4">
        <v>42714271</v>
      </c>
      <c r="D61" s="5" t="s">
        <v>462</v>
      </c>
      <c r="E61" s="5" t="s">
        <v>17</v>
      </c>
      <c r="F61" s="5" t="s">
        <v>60</v>
      </c>
      <c r="G61" s="5" t="s">
        <v>40</v>
      </c>
      <c r="H61" s="5" t="s">
        <v>32</v>
      </c>
      <c r="I61" s="4">
        <v>15</v>
      </c>
      <c r="J61" s="14" t="s">
        <v>314</v>
      </c>
      <c r="K61" s="5" t="s">
        <v>463</v>
      </c>
      <c r="L61" s="4">
        <v>956777840</v>
      </c>
      <c r="M61" s="5"/>
    </row>
    <row r="62" spans="2:13">
      <c r="B62" s="4">
        <v>54</v>
      </c>
      <c r="C62" s="4">
        <v>41059439</v>
      </c>
      <c r="D62" s="5" t="s">
        <v>464</v>
      </c>
      <c r="E62" s="5" t="s">
        <v>17</v>
      </c>
      <c r="F62" s="5" t="s">
        <v>30</v>
      </c>
      <c r="G62" s="5" t="s">
        <v>31</v>
      </c>
      <c r="H62" s="5" t="s">
        <v>32</v>
      </c>
      <c r="I62" s="4">
        <v>12</v>
      </c>
      <c r="J62" s="14" t="s">
        <v>465</v>
      </c>
      <c r="K62" s="5" t="s">
        <v>466</v>
      </c>
      <c r="L62" s="4">
        <v>956622374</v>
      </c>
      <c r="M62" s="5"/>
    </row>
    <row r="63" spans="2:13">
      <c r="B63" s="4">
        <v>55</v>
      </c>
      <c r="C63" s="4">
        <v>3675324</v>
      </c>
      <c r="D63" s="5" t="s">
        <v>467</v>
      </c>
      <c r="E63" s="5" t="s">
        <v>17</v>
      </c>
      <c r="F63" s="5" t="s">
        <v>30</v>
      </c>
      <c r="G63" s="5" t="s">
        <v>31</v>
      </c>
      <c r="H63" s="5" t="s">
        <v>32</v>
      </c>
      <c r="I63" s="4">
        <v>18</v>
      </c>
      <c r="J63" s="14" t="s">
        <v>468</v>
      </c>
      <c r="K63" s="5" t="s">
        <v>469</v>
      </c>
      <c r="L63" s="4">
        <v>956382197</v>
      </c>
      <c r="M63" s="5"/>
    </row>
    <row r="64" spans="2:13">
      <c r="B64" s="4">
        <v>56</v>
      </c>
      <c r="C64" s="4">
        <v>41717794</v>
      </c>
      <c r="D64" s="5" t="s">
        <v>470</v>
      </c>
      <c r="E64" s="5" t="s">
        <v>17</v>
      </c>
      <c r="F64" s="5" t="s">
        <v>52</v>
      </c>
      <c r="G64" s="5" t="s">
        <v>19</v>
      </c>
      <c r="H64" s="5" t="s">
        <v>25</v>
      </c>
      <c r="I64" s="4">
        <v>14</v>
      </c>
      <c r="J64" s="14" t="s">
        <v>438</v>
      </c>
      <c r="K64" s="5" t="s">
        <v>471</v>
      </c>
      <c r="L64" s="4">
        <v>960309853</v>
      </c>
      <c r="M64" s="5"/>
    </row>
    <row r="65" spans="2:13">
      <c r="B65" s="4">
        <v>57</v>
      </c>
      <c r="C65" s="4">
        <v>21461262</v>
      </c>
      <c r="D65" s="5" t="s">
        <v>472</v>
      </c>
      <c r="E65" s="5" t="s">
        <v>17</v>
      </c>
      <c r="F65" s="5" t="s">
        <v>30</v>
      </c>
      <c r="G65" s="5" t="s">
        <v>31</v>
      </c>
      <c r="H65" s="5" t="s">
        <v>32</v>
      </c>
      <c r="I65" s="4">
        <v>18</v>
      </c>
      <c r="J65" s="14" t="s">
        <v>304</v>
      </c>
      <c r="K65" s="5" t="s">
        <v>473</v>
      </c>
      <c r="L65" s="4" t="s">
        <v>474</v>
      </c>
      <c r="M65" s="5"/>
    </row>
    <row r="66" spans="2:13">
      <c r="B66" s="4">
        <v>58</v>
      </c>
      <c r="C66" s="4">
        <v>44467415</v>
      </c>
      <c r="D66" s="5" t="s">
        <v>475</v>
      </c>
      <c r="E66" s="5" t="s">
        <v>17</v>
      </c>
      <c r="F66" s="5" t="s">
        <v>30</v>
      </c>
      <c r="G66" s="5" t="s">
        <v>92</v>
      </c>
      <c r="H66" s="5" t="s">
        <v>20</v>
      </c>
      <c r="I66" s="4">
        <v>8</v>
      </c>
      <c r="J66" s="14" t="s">
        <v>476</v>
      </c>
      <c r="K66" s="5" t="s">
        <v>477</v>
      </c>
      <c r="L66" s="4">
        <v>902356581</v>
      </c>
      <c r="M66" s="5"/>
    </row>
    <row r="67" spans="2:13">
      <c r="B67" s="4">
        <v>59</v>
      </c>
      <c r="C67" s="4">
        <v>21463227</v>
      </c>
      <c r="D67" s="5" t="s">
        <v>478</v>
      </c>
      <c r="E67" s="5" t="s">
        <v>17</v>
      </c>
      <c r="F67" s="5" t="s">
        <v>60</v>
      </c>
      <c r="G67" s="5" t="s">
        <v>40</v>
      </c>
      <c r="H67" s="5" t="s">
        <v>32</v>
      </c>
      <c r="I67" s="4">
        <v>17</v>
      </c>
      <c r="J67" s="14" t="s">
        <v>479</v>
      </c>
      <c r="K67" s="5" t="s">
        <v>480</v>
      </c>
      <c r="L67" s="4">
        <v>955604667</v>
      </c>
      <c r="M67" s="5"/>
    </row>
    <row r="68" spans="2:13">
      <c r="B68" s="4">
        <v>60</v>
      </c>
      <c r="C68" s="4">
        <v>21435456</v>
      </c>
      <c r="D68" s="5" t="s">
        <v>481</v>
      </c>
      <c r="E68" s="5" t="s">
        <v>17</v>
      </c>
      <c r="F68" s="5" t="s">
        <v>36</v>
      </c>
      <c r="G68" s="5" t="s">
        <v>40</v>
      </c>
      <c r="H68" s="5" t="s">
        <v>20</v>
      </c>
      <c r="I68" s="4">
        <v>18</v>
      </c>
      <c r="J68" s="14" t="s">
        <v>283</v>
      </c>
      <c r="K68" s="5" t="s">
        <v>482</v>
      </c>
      <c r="L68" s="4">
        <v>972019885</v>
      </c>
      <c r="M68" s="5"/>
    </row>
    <row r="69" spans="2:13">
      <c r="B69" s="4">
        <v>61</v>
      </c>
      <c r="C69" s="4">
        <v>21797410</v>
      </c>
      <c r="D69" s="5" t="s">
        <v>483</v>
      </c>
      <c r="E69" s="5" t="s">
        <v>17</v>
      </c>
      <c r="F69" s="5" t="s">
        <v>206</v>
      </c>
      <c r="G69" s="5" t="s">
        <v>92</v>
      </c>
      <c r="H69" s="5" t="s">
        <v>32</v>
      </c>
      <c r="I69" s="4">
        <v>12</v>
      </c>
      <c r="J69" s="14" t="s">
        <v>125</v>
      </c>
      <c r="K69" s="5" t="s">
        <v>484</v>
      </c>
      <c r="L69" s="4" t="s">
        <v>485</v>
      </c>
      <c r="M69" s="5"/>
    </row>
    <row r="70" spans="2:13">
      <c r="B70" s="4">
        <v>62</v>
      </c>
      <c r="C70" s="4">
        <v>25431048</v>
      </c>
      <c r="D70" s="5" t="s">
        <v>486</v>
      </c>
      <c r="E70" s="5" t="s">
        <v>17</v>
      </c>
      <c r="F70" s="5" t="s">
        <v>60</v>
      </c>
      <c r="G70" s="5" t="s">
        <v>19</v>
      </c>
      <c r="H70" s="5" t="s">
        <v>82</v>
      </c>
      <c r="I70" s="4">
        <v>16</v>
      </c>
      <c r="J70" s="14" t="s">
        <v>487</v>
      </c>
      <c r="K70" s="5" t="s">
        <v>488</v>
      </c>
      <c r="L70" s="4">
        <v>992410265</v>
      </c>
      <c r="M70" s="5"/>
    </row>
    <row r="71" spans="2:13">
      <c r="B71" s="4">
        <v>63</v>
      </c>
      <c r="C71" s="4">
        <v>21403002</v>
      </c>
      <c r="D71" s="5" t="s">
        <v>489</v>
      </c>
      <c r="E71" s="5" t="s">
        <v>17</v>
      </c>
      <c r="F71" s="5" t="s">
        <v>30</v>
      </c>
      <c r="G71" s="5" t="s">
        <v>31</v>
      </c>
      <c r="H71" s="5" t="s">
        <v>32</v>
      </c>
      <c r="I71" s="4">
        <v>11</v>
      </c>
      <c r="J71" s="14" t="s">
        <v>490</v>
      </c>
      <c r="K71" s="5" t="s">
        <v>491</v>
      </c>
      <c r="L71" s="4">
        <v>945567047</v>
      </c>
      <c r="M71" s="5"/>
    </row>
    <row r="72" spans="2:13">
      <c r="B72" s="4">
        <v>64</v>
      </c>
      <c r="C72" s="4">
        <v>21548063</v>
      </c>
      <c r="D72" s="5" t="s">
        <v>492</v>
      </c>
      <c r="E72" s="5" t="s">
        <v>17</v>
      </c>
      <c r="F72" s="5" t="s">
        <v>30</v>
      </c>
      <c r="G72" s="5" t="s">
        <v>31</v>
      </c>
      <c r="H72" s="5" t="s">
        <v>32</v>
      </c>
      <c r="I72" s="4">
        <v>14</v>
      </c>
      <c r="J72" s="14" t="s">
        <v>493</v>
      </c>
      <c r="K72" s="5" t="s">
        <v>494</v>
      </c>
      <c r="L72" s="4">
        <v>945018845</v>
      </c>
      <c r="M72" s="5"/>
    </row>
    <row r="73" spans="2:13">
      <c r="B73" s="4">
        <v>65</v>
      </c>
      <c r="C73" s="4">
        <v>45077896</v>
      </c>
      <c r="D73" s="5" t="s">
        <v>495</v>
      </c>
      <c r="E73" s="5" t="s">
        <v>17</v>
      </c>
      <c r="F73" s="5" t="s">
        <v>24</v>
      </c>
      <c r="G73" s="5" t="s">
        <v>19</v>
      </c>
      <c r="H73" s="5" t="s">
        <v>32</v>
      </c>
      <c r="I73" s="4">
        <v>20</v>
      </c>
      <c r="J73" s="14" t="s">
        <v>450</v>
      </c>
      <c r="K73" s="5" t="s">
        <v>496</v>
      </c>
      <c r="L73" s="4">
        <v>960860997</v>
      </c>
      <c r="M73" s="5"/>
    </row>
    <row r="74" spans="2:13">
      <c r="B74" s="4">
        <v>66</v>
      </c>
      <c r="C74" s="4">
        <v>21881309</v>
      </c>
      <c r="D74" s="5" t="s">
        <v>497</v>
      </c>
      <c r="E74" s="5" t="s">
        <v>17</v>
      </c>
      <c r="F74" s="5" t="s">
        <v>60</v>
      </c>
      <c r="G74" s="5" t="s">
        <v>19</v>
      </c>
      <c r="H74" s="5" t="s">
        <v>32</v>
      </c>
      <c r="I74" s="4">
        <v>15</v>
      </c>
      <c r="J74" s="14" t="s">
        <v>86</v>
      </c>
      <c r="K74" s="5" t="s">
        <v>498</v>
      </c>
      <c r="L74" s="4">
        <v>956698838</v>
      </c>
      <c r="M74" s="5"/>
    </row>
    <row r="75" spans="2:13">
      <c r="B75" s="4">
        <v>67</v>
      </c>
      <c r="C75" s="4">
        <v>45469052</v>
      </c>
      <c r="D75" s="5" t="s">
        <v>499</v>
      </c>
      <c r="E75" s="5" t="s">
        <v>17</v>
      </c>
      <c r="F75" s="5" t="s">
        <v>52</v>
      </c>
      <c r="G75" s="5" t="s">
        <v>19</v>
      </c>
      <c r="H75" s="5" t="s">
        <v>25</v>
      </c>
      <c r="I75" s="4">
        <v>17</v>
      </c>
      <c r="J75" s="14" t="s">
        <v>210</v>
      </c>
      <c r="K75" s="5" t="s">
        <v>500</v>
      </c>
      <c r="L75" s="4">
        <v>946403616</v>
      </c>
      <c r="M75" s="5"/>
    </row>
    <row r="76" spans="2:13">
      <c r="B76" s="4">
        <v>68</v>
      </c>
      <c r="C76" s="4">
        <v>44481285</v>
      </c>
      <c r="D76" s="5" t="s">
        <v>501</v>
      </c>
      <c r="E76" s="5" t="s">
        <v>17</v>
      </c>
      <c r="F76" s="5" t="s">
        <v>18</v>
      </c>
      <c r="G76" s="5" t="s">
        <v>19</v>
      </c>
      <c r="H76" s="5" t="s">
        <v>20</v>
      </c>
      <c r="I76" s="4">
        <v>12</v>
      </c>
      <c r="J76" s="14" t="s">
        <v>246</v>
      </c>
      <c r="K76" s="5" t="s">
        <v>502</v>
      </c>
      <c r="L76" s="4" t="s">
        <v>503</v>
      </c>
      <c r="M76" s="5"/>
    </row>
    <row r="77" spans="2:13">
      <c r="B77" s="4">
        <v>69</v>
      </c>
      <c r="C77" s="4">
        <v>21868076</v>
      </c>
      <c r="D77" s="5" t="s">
        <v>504</v>
      </c>
      <c r="E77" s="5" t="s">
        <v>17</v>
      </c>
      <c r="F77" s="5" t="s">
        <v>18</v>
      </c>
      <c r="G77" s="5" t="s">
        <v>19</v>
      </c>
      <c r="H77" s="5" t="s">
        <v>25</v>
      </c>
      <c r="I77" s="4">
        <v>14</v>
      </c>
      <c r="J77" s="14" t="s">
        <v>409</v>
      </c>
      <c r="K77" s="5" t="s">
        <v>505</v>
      </c>
      <c r="L77" s="4">
        <v>936694754</v>
      </c>
      <c r="M77" s="5"/>
    </row>
    <row r="78" spans="2:13">
      <c r="B78" s="4">
        <v>70</v>
      </c>
      <c r="C78" s="4">
        <v>10552634</v>
      </c>
      <c r="D78" s="5" t="s">
        <v>506</v>
      </c>
      <c r="E78" s="5" t="s">
        <v>17</v>
      </c>
      <c r="F78" s="5" t="s">
        <v>206</v>
      </c>
      <c r="G78" s="5" t="s">
        <v>92</v>
      </c>
      <c r="H78" s="5" t="s">
        <v>20</v>
      </c>
      <c r="I78" s="4">
        <v>15</v>
      </c>
      <c r="J78" s="14" t="s">
        <v>507</v>
      </c>
      <c r="K78" s="5" t="s">
        <v>508</v>
      </c>
      <c r="L78" s="4">
        <v>941007883</v>
      </c>
      <c r="M78" s="5"/>
    </row>
    <row r="79" spans="2:13">
      <c r="B79" s="4">
        <v>71</v>
      </c>
      <c r="C79" s="4">
        <v>22064239</v>
      </c>
      <c r="D79" s="5" t="s">
        <v>509</v>
      </c>
      <c r="E79" s="5" t="s">
        <v>17</v>
      </c>
      <c r="F79" s="5" t="s">
        <v>60</v>
      </c>
      <c r="G79" s="5" t="s">
        <v>19</v>
      </c>
      <c r="H79" s="5" t="s">
        <v>25</v>
      </c>
      <c r="I79" s="4">
        <v>14</v>
      </c>
      <c r="J79" s="14" t="s">
        <v>510</v>
      </c>
      <c r="K79" s="5" t="s">
        <v>511</v>
      </c>
      <c r="L79" s="4">
        <v>998981824</v>
      </c>
      <c r="M79" s="5"/>
    </row>
    <row r="80" spans="2:13">
      <c r="B80" s="4">
        <v>72</v>
      </c>
      <c r="C80" s="4">
        <v>15421738</v>
      </c>
      <c r="D80" s="5" t="s">
        <v>512</v>
      </c>
      <c r="E80" s="5" t="s">
        <v>17</v>
      </c>
      <c r="F80" s="5" t="s">
        <v>52</v>
      </c>
      <c r="G80" s="5" t="s">
        <v>19</v>
      </c>
      <c r="H80" s="5" t="s">
        <v>41</v>
      </c>
      <c r="I80" s="4">
        <v>12</v>
      </c>
      <c r="J80" s="14" t="s">
        <v>513</v>
      </c>
      <c r="K80" s="5" t="s">
        <v>514</v>
      </c>
      <c r="L80" s="4">
        <v>988563446</v>
      </c>
      <c r="M80" s="5"/>
    </row>
    <row r="81" spans="2:13">
      <c r="B81" s="4">
        <v>73</v>
      </c>
      <c r="C81" s="4">
        <v>21887665</v>
      </c>
      <c r="D81" s="5" t="s">
        <v>515</v>
      </c>
      <c r="E81" s="5" t="s">
        <v>17</v>
      </c>
      <c r="F81" s="5" t="s">
        <v>52</v>
      </c>
      <c r="G81" s="5" t="s">
        <v>19</v>
      </c>
      <c r="H81" s="5" t="s">
        <v>20</v>
      </c>
      <c r="I81" s="4">
        <v>8</v>
      </c>
      <c r="J81" s="14" t="s">
        <v>516</v>
      </c>
      <c r="K81" s="5" t="s">
        <v>517</v>
      </c>
      <c r="L81" s="4">
        <v>981794511</v>
      </c>
      <c r="M81" s="5"/>
    </row>
    <row r="82" spans="2:13">
      <c r="B82" s="4">
        <v>74</v>
      </c>
      <c r="C82" s="4">
        <v>40078328</v>
      </c>
      <c r="D82" s="5" t="s">
        <v>518</v>
      </c>
      <c r="E82" s="5" t="s">
        <v>17</v>
      </c>
      <c r="F82" s="5" t="s">
        <v>52</v>
      </c>
      <c r="G82" s="5" t="s">
        <v>40</v>
      </c>
      <c r="H82" s="5" t="s">
        <v>41</v>
      </c>
      <c r="I82" s="4">
        <v>13</v>
      </c>
      <c r="J82" s="14" t="s">
        <v>519</v>
      </c>
      <c r="K82" s="5" t="s">
        <v>520</v>
      </c>
      <c r="L82" s="4">
        <v>935496086</v>
      </c>
      <c r="M82" s="5"/>
    </row>
    <row r="83" spans="2:13">
      <c r="B83" s="4">
        <v>75</v>
      </c>
      <c r="C83" s="4">
        <v>70089866</v>
      </c>
      <c r="D83" s="5" t="s">
        <v>521</v>
      </c>
      <c r="E83" s="5" t="s">
        <v>17</v>
      </c>
      <c r="F83" s="5" t="s">
        <v>177</v>
      </c>
      <c r="G83" s="5" t="s">
        <v>40</v>
      </c>
      <c r="H83" s="5" t="s">
        <v>25</v>
      </c>
      <c r="I83" s="4">
        <v>13</v>
      </c>
      <c r="J83" s="14" t="s">
        <v>522</v>
      </c>
      <c r="K83" s="5" t="s">
        <v>523</v>
      </c>
      <c r="L83" s="4">
        <v>959046077</v>
      </c>
      <c r="M83" s="5"/>
    </row>
    <row r="84" spans="2:13">
      <c r="B84" s="4">
        <v>76</v>
      </c>
      <c r="C84" s="4">
        <v>46604461</v>
      </c>
      <c r="D84" s="5" t="s">
        <v>524</v>
      </c>
      <c r="E84" s="5" t="s">
        <v>17</v>
      </c>
      <c r="F84" s="5" t="s">
        <v>18</v>
      </c>
      <c r="G84" s="5" t="s">
        <v>19</v>
      </c>
      <c r="H84" s="5" t="s">
        <v>41</v>
      </c>
      <c r="I84" s="4">
        <v>15</v>
      </c>
      <c r="J84" s="14" t="s">
        <v>525</v>
      </c>
      <c r="K84" s="5" t="s">
        <v>526</v>
      </c>
      <c r="L84" s="4">
        <v>945859627</v>
      </c>
      <c r="M84" s="5"/>
    </row>
    <row r="85" spans="2:13">
      <c r="B85" s="4">
        <v>77</v>
      </c>
      <c r="C85" s="4">
        <v>72373220</v>
      </c>
      <c r="D85" s="5" t="s">
        <v>527</v>
      </c>
      <c r="E85" s="5" t="s">
        <v>17</v>
      </c>
      <c r="F85" s="5" t="s">
        <v>18</v>
      </c>
      <c r="G85" s="5" t="s">
        <v>19</v>
      </c>
      <c r="H85" s="5" t="s">
        <v>20</v>
      </c>
      <c r="I85" s="4">
        <v>15</v>
      </c>
      <c r="J85" s="14" t="s">
        <v>528</v>
      </c>
      <c r="K85" s="5" t="s">
        <v>529</v>
      </c>
      <c r="L85" s="4">
        <v>987547073</v>
      </c>
      <c r="M85" s="5"/>
    </row>
    <row r="86" spans="2:13">
      <c r="B86" s="4">
        <v>78</v>
      </c>
      <c r="C86" s="4">
        <v>43540130</v>
      </c>
      <c r="D86" s="5" t="s">
        <v>530</v>
      </c>
      <c r="E86" s="5" t="s">
        <v>17</v>
      </c>
      <c r="F86" s="5" t="s">
        <v>30</v>
      </c>
      <c r="G86" s="5" t="s">
        <v>31</v>
      </c>
      <c r="H86" s="5" t="s">
        <v>32</v>
      </c>
      <c r="I86" s="4">
        <v>18</v>
      </c>
      <c r="J86" s="14" t="s">
        <v>171</v>
      </c>
      <c r="K86" s="5" t="s">
        <v>531</v>
      </c>
      <c r="L86" s="4">
        <v>999113609</v>
      </c>
      <c r="M86" s="5"/>
    </row>
    <row r="87" spans="2:13">
      <c r="B87" s="4">
        <v>79</v>
      </c>
      <c r="C87" s="4">
        <v>21417302</v>
      </c>
      <c r="D87" s="5" t="s">
        <v>532</v>
      </c>
      <c r="E87" s="5" t="s">
        <v>17</v>
      </c>
      <c r="F87" s="5" t="s">
        <v>18</v>
      </c>
      <c r="G87" s="5" t="s">
        <v>19</v>
      </c>
      <c r="H87" s="5" t="s">
        <v>25</v>
      </c>
      <c r="I87" s="4">
        <v>12</v>
      </c>
      <c r="J87" s="14" t="s">
        <v>533</v>
      </c>
      <c r="K87" s="5" t="s">
        <v>534</v>
      </c>
      <c r="L87" s="4">
        <v>956823552</v>
      </c>
      <c r="M87" s="5"/>
    </row>
    <row r="88" spans="2:13">
      <c r="B88" s="4">
        <v>80</v>
      </c>
      <c r="C88" s="4">
        <v>15580142</v>
      </c>
      <c r="D88" s="5" t="s">
        <v>535</v>
      </c>
      <c r="E88" s="5" t="s">
        <v>17</v>
      </c>
      <c r="F88" s="5" t="s">
        <v>18</v>
      </c>
      <c r="G88" s="5" t="s">
        <v>68</v>
      </c>
      <c r="H88" s="5" t="s">
        <v>32</v>
      </c>
      <c r="I88" s="4">
        <v>16</v>
      </c>
      <c r="J88" s="14" t="s">
        <v>356</v>
      </c>
      <c r="K88" s="5" t="s">
        <v>536</v>
      </c>
      <c r="L88" s="4">
        <v>982260077</v>
      </c>
      <c r="M88" s="5"/>
    </row>
    <row r="89" spans="2:13">
      <c r="B89" s="4">
        <v>81</v>
      </c>
      <c r="C89" s="4">
        <v>21882986</v>
      </c>
      <c r="D89" s="5" t="s">
        <v>537</v>
      </c>
      <c r="E89" s="5" t="s">
        <v>17</v>
      </c>
      <c r="F89" s="5" t="s">
        <v>36</v>
      </c>
      <c r="G89" s="5" t="s">
        <v>19</v>
      </c>
      <c r="H89" s="5" t="s">
        <v>25</v>
      </c>
      <c r="I89" s="4">
        <v>18</v>
      </c>
      <c r="J89" s="14" t="s">
        <v>149</v>
      </c>
      <c r="K89" s="5" t="s">
        <v>538</v>
      </c>
      <c r="L89" s="4">
        <v>956602740</v>
      </c>
      <c r="M89" s="5"/>
    </row>
    <row r="90" spans="2:13">
      <c r="B90" s="4">
        <v>82</v>
      </c>
      <c r="C90" s="4">
        <v>21869228</v>
      </c>
      <c r="D90" s="5" t="s">
        <v>539</v>
      </c>
      <c r="E90" s="5" t="s">
        <v>17</v>
      </c>
      <c r="F90" s="5" t="s">
        <v>60</v>
      </c>
      <c r="G90" s="5" t="s">
        <v>19</v>
      </c>
      <c r="H90" s="5" t="s">
        <v>25</v>
      </c>
      <c r="I90" s="4">
        <v>16</v>
      </c>
      <c r="J90" s="14" t="s">
        <v>540</v>
      </c>
      <c r="K90" s="5" t="s">
        <v>541</v>
      </c>
      <c r="L90" s="4">
        <v>956806124</v>
      </c>
      <c r="M90" s="5"/>
    </row>
    <row r="91" spans="2:13">
      <c r="B91" s="4">
        <v>83</v>
      </c>
      <c r="C91" s="4">
        <v>21487056</v>
      </c>
      <c r="D91" s="5" t="s">
        <v>542</v>
      </c>
      <c r="E91" s="5" t="s">
        <v>17</v>
      </c>
      <c r="F91" s="5" t="s">
        <v>18</v>
      </c>
      <c r="G91" s="5" t="s">
        <v>40</v>
      </c>
      <c r="H91" s="5" t="s">
        <v>32</v>
      </c>
      <c r="I91" s="4">
        <v>14</v>
      </c>
      <c r="J91" s="14" t="s">
        <v>543</v>
      </c>
      <c r="K91" s="5" t="s">
        <v>544</v>
      </c>
      <c r="L91" s="4">
        <v>964003157</v>
      </c>
      <c r="M91" s="5"/>
    </row>
    <row r="92" spans="2:13">
      <c r="B92" s="4">
        <v>84</v>
      </c>
      <c r="C92" s="4">
        <v>21452959</v>
      </c>
      <c r="D92" s="5" t="s">
        <v>545</v>
      </c>
      <c r="E92" s="5" t="s">
        <v>17</v>
      </c>
      <c r="F92" s="5" t="s">
        <v>60</v>
      </c>
      <c r="G92" s="5" t="s">
        <v>40</v>
      </c>
      <c r="H92" s="5" t="s">
        <v>32</v>
      </c>
      <c r="I92" s="4">
        <v>14</v>
      </c>
      <c r="J92" s="14" t="s">
        <v>546</v>
      </c>
      <c r="K92" s="5" t="s">
        <v>547</v>
      </c>
      <c r="L92" s="4">
        <v>956808791</v>
      </c>
      <c r="M92" s="5"/>
    </row>
    <row r="93" spans="2:13">
      <c r="B93" s="4">
        <v>85</v>
      </c>
      <c r="C93" s="4">
        <v>45477699</v>
      </c>
      <c r="D93" s="5" t="s">
        <v>548</v>
      </c>
      <c r="E93" s="5" t="s">
        <v>17</v>
      </c>
      <c r="F93" s="5" t="s">
        <v>52</v>
      </c>
      <c r="G93" s="5" t="s">
        <v>19</v>
      </c>
      <c r="H93" s="5" t="s">
        <v>25</v>
      </c>
      <c r="I93" s="4">
        <v>13</v>
      </c>
      <c r="J93" s="14" t="s">
        <v>373</v>
      </c>
      <c r="K93" s="5" t="s">
        <v>549</v>
      </c>
      <c r="L93" s="4" t="s">
        <v>550</v>
      </c>
      <c r="M93" s="5"/>
    </row>
    <row r="94" spans="2:13">
      <c r="B94" s="4">
        <v>86</v>
      </c>
      <c r="C94" s="4">
        <v>45121977</v>
      </c>
      <c r="D94" s="5" t="s">
        <v>551</v>
      </c>
      <c r="E94" s="5" t="s">
        <v>17</v>
      </c>
      <c r="F94" s="5" t="s">
        <v>30</v>
      </c>
      <c r="G94" s="5" t="s">
        <v>31</v>
      </c>
      <c r="H94" s="5" t="s">
        <v>32</v>
      </c>
      <c r="I94" s="4">
        <v>15</v>
      </c>
      <c r="J94" s="14" t="s">
        <v>552</v>
      </c>
      <c r="K94" s="5" t="s">
        <v>553</v>
      </c>
      <c r="L94" s="4">
        <v>942020226</v>
      </c>
      <c r="M94" s="5"/>
    </row>
    <row r="95" spans="2:13">
      <c r="B95" s="4">
        <v>87</v>
      </c>
      <c r="C95" s="4">
        <v>15863203</v>
      </c>
      <c r="D95" s="5" t="s">
        <v>554</v>
      </c>
      <c r="E95" s="5" t="s">
        <v>17</v>
      </c>
      <c r="F95" s="5" t="s">
        <v>60</v>
      </c>
      <c r="G95" s="5" t="s">
        <v>68</v>
      </c>
      <c r="H95" s="5" t="s">
        <v>32</v>
      </c>
      <c r="I95" s="4">
        <v>15</v>
      </c>
      <c r="J95" s="14" t="s">
        <v>555</v>
      </c>
      <c r="K95" s="5" t="s">
        <v>556</v>
      </c>
      <c r="L95" s="4">
        <v>980534138</v>
      </c>
      <c r="M95" s="5"/>
    </row>
    <row r="96" spans="2:13">
      <c r="B96" s="4">
        <v>88</v>
      </c>
      <c r="C96" s="4">
        <v>10860253</v>
      </c>
      <c r="D96" s="5" t="s">
        <v>557</v>
      </c>
      <c r="E96" s="5" t="s">
        <v>17</v>
      </c>
      <c r="F96" s="5" t="s">
        <v>18</v>
      </c>
      <c r="G96" s="5" t="s">
        <v>40</v>
      </c>
      <c r="H96" s="5" t="s">
        <v>20</v>
      </c>
      <c r="I96" s="4">
        <v>15</v>
      </c>
      <c r="J96" s="14" t="s">
        <v>558</v>
      </c>
      <c r="K96" s="5" t="s">
        <v>559</v>
      </c>
      <c r="L96" s="4">
        <v>941185753</v>
      </c>
      <c r="M96" s="5"/>
    </row>
    <row r="97" spans="2:13">
      <c r="B97" s="4">
        <v>89</v>
      </c>
      <c r="C97" s="4">
        <v>75928709</v>
      </c>
      <c r="D97" s="5" t="s">
        <v>560</v>
      </c>
      <c r="E97" s="5" t="s">
        <v>17</v>
      </c>
      <c r="F97" s="5" t="s">
        <v>36</v>
      </c>
      <c r="G97" s="5" t="s">
        <v>19</v>
      </c>
      <c r="H97" s="5" t="s">
        <v>41</v>
      </c>
      <c r="I97" s="4">
        <v>13</v>
      </c>
      <c r="J97" s="14" t="s">
        <v>561</v>
      </c>
      <c r="K97" s="5" t="s">
        <v>562</v>
      </c>
      <c r="L97" s="4">
        <v>966604053</v>
      </c>
      <c r="M97" s="5"/>
    </row>
    <row r="98" spans="2:13">
      <c r="B98" s="4">
        <v>90</v>
      </c>
      <c r="C98" s="4">
        <v>46406209</v>
      </c>
      <c r="D98" s="5" t="s">
        <v>563</v>
      </c>
      <c r="E98" s="5" t="s">
        <v>17</v>
      </c>
      <c r="F98" s="5" t="s">
        <v>52</v>
      </c>
      <c r="G98" s="5" t="s">
        <v>19</v>
      </c>
      <c r="H98" s="5" t="s">
        <v>32</v>
      </c>
      <c r="I98" s="4">
        <v>12</v>
      </c>
      <c r="J98" s="14" t="s">
        <v>564</v>
      </c>
      <c r="K98" s="5" t="s">
        <v>565</v>
      </c>
      <c r="L98" s="4">
        <v>959647077</v>
      </c>
      <c r="M98" s="5"/>
    </row>
    <row r="99" spans="2:13">
      <c r="B99" s="4">
        <v>91</v>
      </c>
      <c r="C99" s="4">
        <v>21882745</v>
      </c>
      <c r="D99" s="5" t="s">
        <v>566</v>
      </c>
      <c r="E99" s="5" t="s">
        <v>17</v>
      </c>
      <c r="F99" s="5" t="s">
        <v>60</v>
      </c>
      <c r="G99" s="5" t="s">
        <v>19</v>
      </c>
      <c r="H99" s="5" t="s">
        <v>32</v>
      </c>
      <c r="I99" s="4">
        <v>19</v>
      </c>
      <c r="J99" s="14" t="s">
        <v>567</v>
      </c>
      <c r="K99" s="5" t="s">
        <v>568</v>
      </c>
      <c r="L99" s="4">
        <v>952400677</v>
      </c>
      <c r="M99" s="5"/>
    </row>
    <row r="100" spans="2:13">
      <c r="B100" s="4">
        <v>92</v>
      </c>
      <c r="C100" s="4">
        <v>41678332</v>
      </c>
      <c r="D100" s="5" t="s">
        <v>569</v>
      </c>
      <c r="E100" s="5" t="s">
        <v>17</v>
      </c>
      <c r="F100" s="5" t="s">
        <v>60</v>
      </c>
      <c r="G100" s="5" t="s">
        <v>19</v>
      </c>
      <c r="H100" s="5" t="s">
        <v>32</v>
      </c>
      <c r="I100" s="4">
        <v>12</v>
      </c>
      <c r="J100" s="14" t="s">
        <v>570</v>
      </c>
      <c r="K100" s="5" t="s">
        <v>571</v>
      </c>
      <c r="L100" s="4">
        <v>924102090</v>
      </c>
      <c r="M100" s="5"/>
    </row>
    <row r="101" spans="2:13">
      <c r="B101" s="4">
        <v>93</v>
      </c>
      <c r="C101" s="4">
        <v>21880907</v>
      </c>
      <c r="D101" s="5" t="s">
        <v>572</v>
      </c>
      <c r="E101" s="5" t="s">
        <v>17</v>
      </c>
      <c r="F101" s="5" t="s">
        <v>52</v>
      </c>
      <c r="G101" s="5" t="s">
        <v>19</v>
      </c>
      <c r="H101" s="5" t="s">
        <v>25</v>
      </c>
      <c r="I101" s="4">
        <v>13</v>
      </c>
      <c r="J101" s="14" t="s">
        <v>573</v>
      </c>
      <c r="K101" s="5" t="s">
        <v>574</v>
      </c>
      <c r="L101" s="4">
        <v>965064516</v>
      </c>
      <c r="M101" s="5"/>
    </row>
    <row r="102" spans="2:13">
      <c r="B102" s="4">
        <v>94</v>
      </c>
      <c r="C102" s="4">
        <v>41641661</v>
      </c>
      <c r="D102" s="5" t="s">
        <v>575</v>
      </c>
      <c r="E102" s="5" t="s">
        <v>17</v>
      </c>
      <c r="F102" s="5" t="s">
        <v>177</v>
      </c>
      <c r="G102" s="5" t="s">
        <v>19</v>
      </c>
      <c r="H102" s="5" t="s">
        <v>32</v>
      </c>
      <c r="I102" s="4">
        <v>14</v>
      </c>
      <c r="J102" s="14" t="s">
        <v>576</v>
      </c>
      <c r="K102" s="5" t="s">
        <v>577</v>
      </c>
      <c r="L102" s="4">
        <v>914378288</v>
      </c>
      <c r="M102" s="5"/>
    </row>
    <row r="103" spans="2:13">
      <c r="B103" s="4">
        <v>95</v>
      </c>
      <c r="C103" s="4">
        <v>45944273</v>
      </c>
      <c r="D103" s="5" t="s">
        <v>578</v>
      </c>
      <c r="E103" s="5" t="s">
        <v>17</v>
      </c>
      <c r="F103" s="5" t="s">
        <v>36</v>
      </c>
      <c r="G103" s="5" t="s">
        <v>40</v>
      </c>
      <c r="H103" s="5" t="s">
        <v>41</v>
      </c>
      <c r="I103" s="4">
        <v>11</v>
      </c>
      <c r="J103" s="14" t="s">
        <v>579</v>
      </c>
      <c r="K103" s="5" t="s">
        <v>580</v>
      </c>
      <c r="L103" s="4">
        <v>990877899</v>
      </c>
      <c r="M103" s="5"/>
    </row>
    <row r="104" spans="2:13">
      <c r="B104" s="4">
        <v>96</v>
      </c>
      <c r="C104" s="4">
        <v>21405273</v>
      </c>
      <c r="D104" s="5" t="s">
        <v>581</v>
      </c>
      <c r="E104" s="5" t="s">
        <v>17</v>
      </c>
      <c r="F104" s="5" t="s">
        <v>18</v>
      </c>
      <c r="G104" s="5" t="s">
        <v>40</v>
      </c>
      <c r="H104" s="5" t="s">
        <v>32</v>
      </c>
      <c r="I104" s="4">
        <v>10</v>
      </c>
      <c r="J104" s="14" t="s">
        <v>582</v>
      </c>
      <c r="K104" s="5" t="s">
        <v>583</v>
      </c>
      <c r="L104" s="4">
        <v>956460118</v>
      </c>
      <c r="M104" s="5"/>
    </row>
    <row r="105" spans="2:13">
      <c r="B105" s="4">
        <v>97</v>
      </c>
      <c r="C105" s="4">
        <v>21569878</v>
      </c>
      <c r="D105" s="5" t="s">
        <v>584</v>
      </c>
      <c r="E105" s="5" t="s">
        <v>17</v>
      </c>
      <c r="F105" s="5" t="s">
        <v>60</v>
      </c>
      <c r="G105" s="5" t="s">
        <v>40</v>
      </c>
      <c r="H105" s="5" t="s">
        <v>25</v>
      </c>
      <c r="I105" s="4">
        <v>15</v>
      </c>
      <c r="J105" s="14" t="s">
        <v>493</v>
      </c>
      <c r="K105" s="5" t="s">
        <v>585</v>
      </c>
      <c r="L105" s="4">
        <v>969825455</v>
      </c>
      <c r="M105" s="5"/>
    </row>
    <row r="106" spans="2:13">
      <c r="B106" s="4">
        <v>98</v>
      </c>
      <c r="C106" s="4">
        <v>21461459</v>
      </c>
      <c r="D106" s="5" t="s">
        <v>586</v>
      </c>
      <c r="E106" s="5" t="s">
        <v>17</v>
      </c>
      <c r="F106" s="5" t="s">
        <v>52</v>
      </c>
      <c r="G106" s="5" t="s">
        <v>40</v>
      </c>
      <c r="H106" s="5" t="s">
        <v>20</v>
      </c>
      <c r="I106" s="4">
        <v>15</v>
      </c>
      <c r="J106" s="14" t="s">
        <v>73</v>
      </c>
      <c r="K106" s="5" t="s">
        <v>587</v>
      </c>
      <c r="L106" s="4">
        <v>940313924</v>
      </c>
      <c r="M106" s="5"/>
    </row>
    <row r="107" spans="2:13">
      <c r="B107" s="4">
        <v>99</v>
      </c>
      <c r="C107" s="4">
        <v>21544647</v>
      </c>
      <c r="D107" s="5" t="s">
        <v>588</v>
      </c>
      <c r="E107" s="5" t="s">
        <v>17</v>
      </c>
      <c r="F107" s="5" t="s">
        <v>60</v>
      </c>
      <c r="G107" s="5" t="s">
        <v>40</v>
      </c>
      <c r="H107" s="5" t="s">
        <v>25</v>
      </c>
      <c r="I107" s="4">
        <v>15</v>
      </c>
      <c r="J107" s="14" t="s">
        <v>317</v>
      </c>
      <c r="K107" s="5" t="s">
        <v>589</v>
      </c>
      <c r="L107" s="4">
        <v>964478206</v>
      </c>
      <c r="M107" s="5"/>
    </row>
    <row r="108" spans="2:13">
      <c r="B108" s="4">
        <v>100</v>
      </c>
      <c r="C108" s="4">
        <v>45820772</v>
      </c>
      <c r="D108" s="5" t="s">
        <v>590</v>
      </c>
      <c r="E108" s="5" t="s">
        <v>17</v>
      </c>
      <c r="F108" s="5" t="s">
        <v>18</v>
      </c>
      <c r="G108" s="5" t="s">
        <v>19</v>
      </c>
      <c r="H108" s="5" t="s">
        <v>20</v>
      </c>
      <c r="I108" s="4">
        <v>19</v>
      </c>
      <c r="J108" s="14" t="s">
        <v>591</v>
      </c>
      <c r="K108" s="5" t="s">
        <v>592</v>
      </c>
      <c r="L108" s="4">
        <v>961812060</v>
      </c>
      <c r="M108" s="5"/>
    </row>
    <row r="109" spans="2:13">
      <c r="B109" s="4">
        <v>101</v>
      </c>
      <c r="C109" s="4">
        <v>10526690</v>
      </c>
      <c r="D109" s="5" t="s">
        <v>593</v>
      </c>
      <c r="E109" s="5" t="s">
        <v>17</v>
      </c>
      <c r="F109" s="5" t="s">
        <v>36</v>
      </c>
      <c r="G109" s="5" t="s">
        <v>19</v>
      </c>
      <c r="H109" s="5" t="s">
        <v>32</v>
      </c>
      <c r="I109" s="4">
        <v>12</v>
      </c>
      <c r="J109" s="14" t="s">
        <v>594</v>
      </c>
      <c r="K109" s="5" t="s">
        <v>595</v>
      </c>
      <c r="L109" s="4">
        <v>938118968</v>
      </c>
      <c r="M109" s="5"/>
    </row>
    <row r="110" spans="2:13">
      <c r="B110" s="4">
        <v>102</v>
      </c>
      <c r="C110" s="4">
        <v>21422320</v>
      </c>
      <c r="D110" s="5" t="s">
        <v>596</v>
      </c>
      <c r="E110" s="5" t="s">
        <v>17</v>
      </c>
      <c r="F110" s="5" t="s">
        <v>18</v>
      </c>
      <c r="G110" s="5" t="s">
        <v>40</v>
      </c>
      <c r="H110" s="5" t="s">
        <v>32</v>
      </c>
      <c r="I110" s="4">
        <v>12</v>
      </c>
      <c r="J110" s="14" t="s">
        <v>597</v>
      </c>
      <c r="K110" s="5" t="s">
        <v>598</v>
      </c>
      <c r="L110" s="4" t="s">
        <v>599</v>
      </c>
      <c r="M110" s="5"/>
    </row>
    <row r="111" spans="2:13">
      <c r="B111" s="4">
        <v>103</v>
      </c>
      <c r="C111" s="4">
        <v>44788147</v>
      </c>
      <c r="D111" s="5" t="s">
        <v>600</v>
      </c>
      <c r="E111" s="5" t="s">
        <v>17</v>
      </c>
      <c r="F111" s="5" t="s">
        <v>18</v>
      </c>
      <c r="G111" s="5" t="s">
        <v>19</v>
      </c>
      <c r="H111" s="5" t="s">
        <v>20</v>
      </c>
      <c r="I111" s="4">
        <v>15</v>
      </c>
      <c r="J111" s="14" t="s">
        <v>601</v>
      </c>
      <c r="K111" s="5" t="s">
        <v>602</v>
      </c>
      <c r="L111" s="4">
        <v>956043387</v>
      </c>
      <c r="M111" s="5"/>
    </row>
    <row r="112" spans="2:13">
      <c r="B112" s="4">
        <v>104</v>
      </c>
      <c r="C112" s="4">
        <v>20048536</v>
      </c>
      <c r="D112" s="5" t="s">
        <v>603</v>
      </c>
      <c r="E112" s="5" t="s">
        <v>17</v>
      </c>
      <c r="F112" s="5" t="s">
        <v>18</v>
      </c>
      <c r="G112" s="5" t="s">
        <v>19</v>
      </c>
      <c r="H112" s="5" t="s">
        <v>20</v>
      </c>
      <c r="I112" s="4">
        <v>15</v>
      </c>
      <c r="J112" s="14" t="s">
        <v>604</v>
      </c>
      <c r="K112" s="5" t="s">
        <v>605</v>
      </c>
      <c r="L112" s="4">
        <v>994402163</v>
      </c>
      <c r="M112" s="5"/>
    </row>
    <row r="113" spans="2:13">
      <c r="B113" s="4">
        <v>105</v>
      </c>
      <c r="C113" s="4">
        <v>21534238</v>
      </c>
      <c r="D113" s="5" t="s">
        <v>606</v>
      </c>
      <c r="E113" s="5" t="s">
        <v>17</v>
      </c>
      <c r="F113" s="5" t="s">
        <v>36</v>
      </c>
      <c r="G113" s="5" t="s">
        <v>40</v>
      </c>
      <c r="H113" s="5" t="s">
        <v>41</v>
      </c>
      <c r="I113" s="4">
        <v>14</v>
      </c>
      <c r="J113" s="14" t="s">
        <v>607</v>
      </c>
      <c r="K113" s="5" t="s">
        <v>608</v>
      </c>
      <c r="L113" s="4">
        <v>978851648</v>
      </c>
      <c r="M113" s="5"/>
    </row>
    <row r="114" spans="2:13">
      <c r="B114" s="4">
        <v>106</v>
      </c>
      <c r="C114" s="4">
        <v>43374447</v>
      </c>
      <c r="D114" s="5" t="s">
        <v>609</v>
      </c>
      <c r="E114" s="5" t="s">
        <v>17</v>
      </c>
      <c r="F114" s="5" t="s">
        <v>206</v>
      </c>
      <c r="G114" s="5" t="s">
        <v>92</v>
      </c>
      <c r="H114" s="5" t="s">
        <v>20</v>
      </c>
      <c r="I114" s="4">
        <v>13</v>
      </c>
      <c r="J114" s="14" t="s">
        <v>283</v>
      </c>
      <c r="K114" s="5" t="s">
        <v>610</v>
      </c>
      <c r="L114" s="4">
        <v>956092411</v>
      </c>
      <c r="M114" s="5"/>
    </row>
    <row r="115" spans="2:13">
      <c r="B115" s="4">
        <v>107</v>
      </c>
      <c r="C115" s="4">
        <v>40572937</v>
      </c>
      <c r="D115" s="5" t="s">
        <v>611</v>
      </c>
      <c r="E115" s="5" t="s">
        <v>17</v>
      </c>
      <c r="F115" s="5" t="s">
        <v>52</v>
      </c>
      <c r="G115" s="5" t="s">
        <v>40</v>
      </c>
      <c r="H115" s="5" t="s">
        <v>32</v>
      </c>
      <c r="I115" s="4">
        <v>12</v>
      </c>
      <c r="J115" s="14" t="s">
        <v>516</v>
      </c>
      <c r="K115" s="5" t="s">
        <v>612</v>
      </c>
      <c r="L115" s="4">
        <v>988028524</v>
      </c>
      <c r="M115" s="5"/>
    </row>
    <row r="116" spans="2:13">
      <c r="B116" s="4">
        <v>108</v>
      </c>
      <c r="C116" s="4">
        <v>44360108</v>
      </c>
      <c r="D116" s="5" t="s">
        <v>613</v>
      </c>
      <c r="E116" s="5" t="s">
        <v>17</v>
      </c>
      <c r="F116" s="5" t="s">
        <v>30</v>
      </c>
      <c r="G116" s="5" t="s">
        <v>31</v>
      </c>
      <c r="H116" s="5" t="s">
        <v>32</v>
      </c>
      <c r="I116" s="4">
        <v>8</v>
      </c>
      <c r="J116" s="14" t="s">
        <v>283</v>
      </c>
      <c r="K116" s="5" t="s">
        <v>614</v>
      </c>
      <c r="L116" s="4" t="s">
        <v>615</v>
      </c>
      <c r="M116" s="5"/>
    </row>
    <row r="117" spans="2:13">
      <c r="B117" s="4">
        <v>109</v>
      </c>
      <c r="C117" s="4">
        <v>22309302</v>
      </c>
      <c r="D117" s="5" t="s">
        <v>616</v>
      </c>
      <c r="E117" s="5" t="s">
        <v>17</v>
      </c>
      <c r="F117" s="5" t="s">
        <v>18</v>
      </c>
      <c r="G117" s="5" t="s">
        <v>40</v>
      </c>
      <c r="H117" s="5" t="s">
        <v>25</v>
      </c>
      <c r="I117" s="4">
        <v>16</v>
      </c>
      <c r="J117" s="14" t="s">
        <v>601</v>
      </c>
      <c r="K117" s="5" t="s">
        <v>617</v>
      </c>
      <c r="L117" s="4">
        <v>944653174</v>
      </c>
      <c r="M117" s="5"/>
    </row>
    <row r="118" spans="2:13">
      <c r="B118" s="4">
        <v>110</v>
      </c>
      <c r="C118" s="4">
        <v>21553238</v>
      </c>
      <c r="D118" s="5" t="s">
        <v>618</v>
      </c>
      <c r="E118" s="5" t="s">
        <v>17</v>
      </c>
      <c r="F118" s="5" t="s">
        <v>24</v>
      </c>
      <c r="G118" s="5" t="s">
        <v>40</v>
      </c>
      <c r="H118" s="5" t="s">
        <v>32</v>
      </c>
      <c r="I118" s="4">
        <v>15</v>
      </c>
      <c r="J118" s="14" t="s">
        <v>335</v>
      </c>
      <c r="K118" s="5" t="s">
        <v>619</v>
      </c>
      <c r="L118" s="4" t="s">
        <v>620</v>
      </c>
      <c r="M118" s="5"/>
    </row>
    <row r="119" spans="2:13">
      <c r="B119" s="4">
        <v>111</v>
      </c>
      <c r="C119" s="4">
        <v>41622614</v>
      </c>
      <c r="D119" s="5" t="s">
        <v>621</v>
      </c>
      <c r="E119" s="5" t="s">
        <v>17</v>
      </c>
      <c r="F119" s="5" t="s">
        <v>18</v>
      </c>
      <c r="G119" s="5" t="s">
        <v>40</v>
      </c>
      <c r="H119" s="5" t="s">
        <v>41</v>
      </c>
      <c r="I119" s="4">
        <v>18</v>
      </c>
      <c r="J119" s="14" t="s">
        <v>601</v>
      </c>
      <c r="K119" s="5" t="s">
        <v>622</v>
      </c>
      <c r="L119" s="4">
        <v>979577396</v>
      </c>
      <c r="M119" s="5"/>
    </row>
    <row r="120" spans="2:13">
      <c r="B120" s="4">
        <v>112</v>
      </c>
      <c r="C120" s="4">
        <v>43214430</v>
      </c>
      <c r="D120" s="5" t="s">
        <v>623</v>
      </c>
      <c r="E120" s="5" t="s">
        <v>17</v>
      </c>
      <c r="F120" s="5" t="s">
        <v>30</v>
      </c>
      <c r="G120" s="5" t="s">
        <v>92</v>
      </c>
      <c r="H120" s="5" t="s">
        <v>32</v>
      </c>
      <c r="I120" s="4">
        <v>15</v>
      </c>
      <c r="J120" s="14" t="s">
        <v>624</v>
      </c>
      <c r="K120" s="5" t="s">
        <v>625</v>
      </c>
      <c r="L120" s="4">
        <v>942099911</v>
      </c>
      <c r="M120" s="5"/>
    </row>
    <row r="121" spans="2:13">
      <c r="B121" s="4">
        <v>113</v>
      </c>
      <c r="C121" s="4">
        <v>40857567</v>
      </c>
      <c r="D121" s="5" t="s">
        <v>626</v>
      </c>
      <c r="E121" s="5" t="s">
        <v>17</v>
      </c>
      <c r="F121" s="5" t="s">
        <v>18</v>
      </c>
      <c r="G121" s="5" t="s">
        <v>40</v>
      </c>
      <c r="H121" s="5" t="s">
        <v>41</v>
      </c>
      <c r="I121" s="4">
        <v>12</v>
      </c>
      <c r="J121" s="14" t="s">
        <v>627</v>
      </c>
      <c r="K121" s="5" t="s">
        <v>628</v>
      </c>
      <c r="L121" s="4">
        <v>956097772</v>
      </c>
      <c r="M121" s="5"/>
    </row>
    <row r="122" spans="2:13">
      <c r="B122" s="4">
        <v>114</v>
      </c>
      <c r="C122" s="4">
        <v>45447624</v>
      </c>
      <c r="D122" s="5" t="s">
        <v>629</v>
      </c>
      <c r="E122" s="5" t="s">
        <v>17</v>
      </c>
      <c r="F122" s="5" t="s">
        <v>30</v>
      </c>
      <c r="G122" s="5" t="s">
        <v>31</v>
      </c>
      <c r="H122" s="5" t="s">
        <v>32</v>
      </c>
      <c r="I122" s="4">
        <v>18</v>
      </c>
      <c r="J122" s="14" t="s">
        <v>270</v>
      </c>
      <c r="K122" s="5" t="s">
        <v>630</v>
      </c>
      <c r="L122" s="4">
        <v>983944554</v>
      </c>
      <c r="M122" s="5"/>
    </row>
    <row r="123" spans="2:13">
      <c r="B123" s="4">
        <v>115</v>
      </c>
      <c r="C123" s="4">
        <v>45560291</v>
      </c>
      <c r="D123" s="5" t="s">
        <v>631</v>
      </c>
      <c r="E123" s="5" t="s">
        <v>17</v>
      </c>
      <c r="F123" s="5" t="s">
        <v>36</v>
      </c>
      <c r="G123" s="5" t="s">
        <v>19</v>
      </c>
      <c r="H123" s="5" t="s">
        <v>25</v>
      </c>
      <c r="I123" s="4">
        <v>18</v>
      </c>
      <c r="J123" s="14" t="s">
        <v>632</v>
      </c>
      <c r="K123" s="5" t="s">
        <v>633</v>
      </c>
      <c r="L123" s="4">
        <v>948672417</v>
      </c>
      <c r="M123" s="5"/>
    </row>
    <row r="124" spans="2:13">
      <c r="B124" s="4">
        <v>116</v>
      </c>
      <c r="C124" s="4">
        <v>70032054</v>
      </c>
      <c r="D124" s="5" t="s">
        <v>634</v>
      </c>
      <c r="E124" s="5" t="s">
        <v>17</v>
      </c>
      <c r="F124" s="5" t="s">
        <v>30</v>
      </c>
      <c r="G124" s="5" t="s">
        <v>31</v>
      </c>
      <c r="H124" s="5" t="s">
        <v>32</v>
      </c>
      <c r="I124" s="4">
        <v>14</v>
      </c>
      <c r="J124" s="14" t="s">
        <v>635</v>
      </c>
      <c r="K124" s="5" t="s">
        <v>636</v>
      </c>
      <c r="L124" s="4" t="s">
        <v>637</v>
      </c>
      <c r="M124" s="5"/>
    </row>
    <row r="125" spans="2:13">
      <c r="B125" s="4">
        <v>117</v>
      </c>
      <c r="C125" s="4">
        <v>72887149</v>
      </c>
      <c r="D125" s="5" t="s">
        <v>638</v>
      </c>
      <c r="E125" s="5" t="s">
        <v>17</v>
      </c>
      <c r="F125" s="5" t="s">
        <v>18</v>
      </c>
      <c r="G125" s="5" t="s">
        <v>40</v>
      </c>
      <c r="H125" s="5" t="s">
        <v>20</v>
      </c>
      <c r="I125" s="4">
        <v>18</v>
      </c>
      <c r="J125" s="14" t="s">
        <v>329</v>
      </c>
      <c r="K125" s="5" t="s">
        <v>639</v>
      </c>
      <c r="L125" s="4">
        <v>938165928</v>
      </c>
      <c r="M125" s="5"/>
    </row>
    <row r="126" spans="2:13">
      <c r="B126" s="4">
        <v>118</v>
      </c>
      <c r="C126" s="4">
        <v>15714311</v>
      </c>
      <c r="D126" s="5" t="s">
        <v>640</v>
      </c>
      <c r="E126" s="5" t="s">
        <v>17</v>
      </c>
      <c r="F126" s="5" t="s">
        <v>177</v>
      </c>
      <c r="G126" s="5" t="s">
        <v>68</v>
      </c>
      <c r="H126" s="5" t="s">
        <v>32</v>
      </c>
      <c r="I126" s="4">
        <v>15</v>
      </c>
      <c r="J126" s="14" t="s">
        <v>641</v>
      </c>
      <c r="K126" s="5" t="s">
        <v>642</v>
      </c>
      <c r="L126" s="4">
        <v>950252179</v>
      </c>
      <c r="M126" s="5"/>
    </row>
    <row r="127" spans="2:13">
      <c r="B127" s="4">
        <v>119</v>
      </c>
      <c r="C127" s="4">
        <v>21533395</v>
      </c>
      <c r="D127" s="5" t="s">
        <v>643</v>
      </c>
      <c r="E127" s="5" t="s">
        <v>17</v>
      </c>
      <c r="F127" s="5" t="s">
        <v>18</v>
      </c>
      <c r="G127" s="5" t="s">
        <v>40</v>
      </c>
      <c r="H127" s="5" t="s">
        <v>32</v>
      </c>
      <c r="I127" s="4">
        <v>14</v>
      </c>
      <c r="J127" s="14" t="s">
        <v>229</v>
      </c>
      <c r="K127" s="5" t="s">
        <v>644</v>
      </c>
      <c r="L127" s="4">
        <v>956204647</v>
      </c>
      <c r="M127" s="5"/>
    </row>
    <row r="128" spans="2:13">
      <c r="B128" s="4">
        <v>120</v>
      </c>
      <c r="C128" s="4">
        <v>21788742</v>
      </c>
      <c r="D128" s="5" t="s">
        <v>645</v>
      </c>
      <c r="E128" s="5" t="s">
        <v>17</v>
      </c>
      <c r="F128" s="5" t="s">
        <v>52</v>
      </c>
      <c r="G128" s="5" t="s">
        <v>19</v>
      </c>
      <c r="H128" s="5" t="s">
        <v>41</v>
      </c>
      <c r="I128" s="4">
        <v>12</v>
      </c>
      <c r="J128" s="14" t="s">
        <v>646</v>
      </c>
      <c r="K128" s="5" t="s">
        <v>647</v>
      </c>
      <c r="L128" s="4">
        <v>956585206</v>
      </c>
      <c r="M128" s="5"/>
    </row>
    <row r="129" spans="2:13">
      <c r="B129" s="4">
        <v>121</v>
      </c>
      <c r="C129" s="4">
        <v>45475173</v>
      </c>
      <c r="D129" s="5" t="s">
        <v>648</v>
      </c>
      <c r="E129" s="5" t="s">
        <v>17</v>
      </c>
      <c r="F129" s="5" t="s">
        <v>30</v>
      </c>
      <c r="G129" s="5" t="s">
        <v>31</v>
      </c>
      <c r="H129" s="5" t="s">
        <v>20</v>
      </c>
      <c r="I129" s="4">
        <v>16</v>
      </c>
      <c r="J129" s="14" t="s">
        <v>270</v>
      </c>
      <c r="K129" s="5" t="s">
        <v>649</v>
      </c>
      <c r="L129" s="4">
        <v>954710997</v>
      </c>
      <c r="M129" s="5"/>
    </row>
    <row r="130" spans="2:13">
      <c r="B130" s="4">
        <v>122</v>
      </c>
      <c r="C130" s="4">
        <v>43728005</v>
      </c>
      <c r="D130" s="5" t="s">
        <v>650</v>
      </c>
      <c r="E130" s="5" t="s">
        <v>17</v>
      </c>
      <c r="F130" s="5" t="s">
        <v>30</v>
      </c>
      <c r="G130" s="5" t="s">
        <v>92</v>
      </c>
      <c r="H130" s="5" t="s">
        <v>32</v>
      </c>
      <c r="I130" s="4">
        <v>14</v>
      </c>
      <c r="J130" s="14" t="s">
        <v>651</v>
      </c>
      <c r="K130" s="5" t="s">
        <v>652</v>
      </c>
      <c r="L130" s="4">
        <v>980654473</v>
      </c>
      <c r="M130" s="5"/>
    </row>
    <row r="131" spans="2:13">
      <c r="B131" s="4">
        <v>123</v>
      </c>
      <c r="C131" s="4">
        <v>21400786</v>
      </c>
      <c r="D131" s="5" t="s">
        <v>653</v>
      </c>
      <c r="E131" s="5" t="s">
        <v>17</v>
      </c>
      <c r="F131" s="5" t="s">
        <v>36</v>
      </c>
      <c r="G131" s="5" t="s">
        <v>40</v>
      </c>
      <c r="H131" s="5" t="s">
        <v>32</v>
      </c>
      <c r="I131" s="4">
        <v>18</v>
      </c>
      <c r="J131" s="14" t="s">
        <v>654</v>
      </c>
      <c r="K131" s="5" t="s">
        <v>655</v>
      </c>
      <c r="L131" s="4">
        <v>956118802</v>
      </c>
      <c r="M131" s="5"/>
    </row>
    <row r="132" spans="2:13">
      <c r="B132" s="4">
        <v>124</v>
      </c>
      <c r="C132" s="4">
        <v>21525275</v>
      </c>
      <c r="D132" s="5" t="s">
        <v>656</v>
      </c>
      <c r="E132" s="5" t="s">
        <v>17</v>
      </c>
      <c r="F132" s="5" t="s">
        <v>64</v>
      </c>
      <c r="G132" s="5" t="s">
        <v>31</v>
      </c>
      <c r="H132" s="5" t="s">
        <v>32</v>
      </c>
      <c r="I132" s="4">
        <v>16</v>
      </c>
      <c r="J132" s="14" t="s">
        <v>45</v>
      </c>
      <c r="K132" s="5" t="s">
        <v>657</v>
      </c>
      <c r="L132" s="4">
        <v>966902868</v>
      </c>
      <c r="M132" s="5"/>
    </row>
    <row r="133" spans="2:13">
      <c r="B133" s="4">
        <v>125</v>
      </c>
      <c r="C133" s="4">
        <v>21561913</v>
      </c>
      <c r="D133" s="5" t="s">
        <v>658</v>
      </c>
      <c r="E133" s="5" t="s">
        <v>17</v>
      </c>
      <c r="F133" s="5" t="s">
        <v>30</v>
      </c>
      <c r="G133" s="5" t="s">
        <v>31</v>
      </c>
      <c r="H133" s="5" t="s">
        <v>32</v>
      </c>
      <c r="I133" s="4">
        <v>15</v>
      </c>
      <c r="J133" s="14" t="s">
        <v>659</v>
      </c>
      <c r="K133" s="5" t="s">
        <v>660</v>
      </c>
      <c r="L133" s="4">
        <v>990775757</v>
      </c>
      <c r="M133" s="5"/>
    </row>
    <row r="134" spans="2:13">
      <c r="B134" s="4">
        <v>126</v>
      </c>
      <c r="C134" s="4">
        <v>15764680</v>
      </c>
      <c r="D134" s="5" t="s">
        <v>661</v>
      </c>
      <c r="E134" s="5" t="s">
        <v>17</v>
      </c>
      <c r="F134" s="5" t="s">
        <v>18</v>
      </c>
      <c r="G134" s="5" t="s">
        <v>40</v>
      </c>
      <c r="H134" s="5" t="s">
        <v>20</v>
      </c>
      <c r="I134" s="4">
        <v>15</v>
      </c>
      <c r="J134" s="14" t="s">
        <v>646</v>
      </c>
      <c r="K134" s="5" t="s">
        <v>662</v>
      </c>
      <c r="L134" s="4">
        <v>994987843</v>
      </c>
      <c r="M134" s="5"/>
    </row>
    <row r="135" spans="2:13">
      <c r="B135" s="4">
        <v>127</v>
      </c>
      <c r="C135" s="4">
        <v>46614264</v>
      </c>
      <c r="D135" s="5" t="s">
        <v>663</v>
      </c>
      <c r="E135" s="5" t="s">
        <v>17</v>
      </c>
      <c r="F135" s="5" t="s">
        <v>60</v>
      </c>
      <c r="G135" s="5" t="s">
        <v>40</v>
      </c>
      <c r="H135" s="5" t="s">
        <v>32</v>
      </c>
      <c r="I135" s="4">
        <v>15</v>
      </c>
      <c r="J135" s="14" t="s">
        <v>53</v>
      </c>
      <c r="K135" s="5" t="s">
        <v>664</v>
      </c>
      <c r="L135" s="4">
        <v>992871412</v>
      </c>
      <c r="M135" s="5"/>
    </row>
    <row r="136" spans="2:13">
      <c r="B136" s="4">
        <v>128</v>
      </c>
      <c r="C136" s="4">
        <v>43471072</v>
      </c>
      <c r="D136" s="5" t="s">
        <v>665</v>
      </c>
      <c r="E136" s="5" t="s">
        <v>17</v>
      </c>
      <c r="F136" s="5" t="s">
        <v>36</v>
      </c>
      <c r="G136" s="5" t="s">
        <v>40</v>
      </c>
      <c r="H136" s="5" t="s">
        <v>32</v>
      </c>
      <c r="I136" s="4">
        <v>14</v>
      </c>
      <c r="J136" s="14" t="s">
        <v>187</v>
      </c>
      <c r="K136" s="5" t="s">
        <v>666</v>
      </c>
      <c r="L136" s="4">
        <v>943597910</v>
      </c>
      <c r="M136" s="5"/>
    </row>
    <row r="137" spans="2:13">
      <c r="B137" s="4">
        <v>129</v>
      </c>
      <c r="C137" s="4">
        <v>43753047</v>
      </c>
      <c r="D137" s="5" t="s">
        <v>667</v>
      </c>
      <c r="E137" s="5" t="s">
        <v>17</v>
      </c>
      <c r="F137" s="5" t="s">
        <v>206</v>
      </c>
      <c r="G137" s="5" t="s">
        <v>92</v>
      </c>
      <c r="H137" s="5" t="s">
        <v>20</v>
      </c>
      <c r="I137" s="4">
        <v>15</v>
      </c>
      <c r="J137" s="14" t="s">
        <v>668</v>
      </c>
      <c r="K137" s="5" t="s">
        <v>669</v>
      </c>
      <c r="L137" s="4">
        <v>952152449</v>
      </c>
      <c r="M137" s="5"/>
    </row>
  </sheetData>
  <autoFilter ref="B8:M137" xr:uid="{7B64D9C7-5C1E-4757-A0D4-AF7D2D575BFE}"/>
  <mergeCells count="1">
    <mergeCell ref="B6:M6"/>
  </mergeCells>
  <pageMargins left="0.15748031496062992" right="0.11811023622047245" top="0.43307086614173229" bottom="0.39370078740157483" header="0.31496062992125984" footer="0.31496062992125984"/>
  <pageSetup paperSize="9" scale="7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E74D-F8BB-41DE-8DC9-2331040F0A32}">
  <sheetPr>
    <tabColor rgb="FF002060"/>
  </sheetPr>
  <dimension ref="B1:P57"/>
  <sheetViews>
    <sheetView workbookViewId="0">
      <selection activeCell="G14" sqref="G14"/>
    </sheetView>
  </sheetViews>
  <sheetFormatPr defaultColWidth="9.140625" defaultRowHeight="15" customHeight="1"/>
  <cols>
    <col min="1" max="1" width="2.85546875" customWidth="1"/>
    <col min="2" max="2" width="5.7109375" customWidth="1"/>
    <col min="3" max="3" width="9.140625" bestFit="1" customWidth="1"/>
    <col min="4" max="4" width="38.140625" style="16" bestFit="1" customWidth="1"/>
    <col min="5" max="5" width="9.28515625" bestFit="1" customWidth="1"/>
    <col min="6" max="6" width="23.5703125" style="16" bestFit="1" customWidth="1"/>
    <col min="7" max="7" width="8.7109375" bestFit="1" customWidth="1"/>
    <col min="8" max="8" width="14.42578125" bestFit="1" customWidth="1"/>
    <col min="9" max="9" width="13.28515625" style="2" customWidth="1"/>
    <col min="10" max="11" width="10.7109375" style="2" customWidth="1"/>
    <col min="12" max="12" width="16.140625" style="15" customWidth="1"/>
    <col min="13" max="13" width="8.5703125" customWidth="1"/>
    <col min="14" max="14" width="36.140625" style="16" bestFit="1" customWidth="1"/>
    <col min="15" max="15" width="19.5703125" style="1" bestFit="1" customWidth="1"/>
    <col min="16" max="16" width="14.7109375" bestFit="1" customWidth="1"/>
  </cols>
  <sheetData>
    <row r="1" spans="2:16">
      <c r="P1" s="1"/>
    </row>
    <row r="2" spans="2:16">
      <c r="P2" s="1"/>
    </row>
    <row r="3" spans="2:16">
      <c r="P3" s="1"/>
    </row>
    <row r="4" spans="2:16">
      <c r="P4" s="1"/>
    </row>
    <row r="5" spans="2:16">
      <c r="P5" s="1"/>
    </row>
    <row r="6" spans="2:16" ht="48.6" customHeight="1">
      <c r="B6" s="112" t="s">
        <v>670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</row>
    <row r="7" spans="2:16">
      <c r="P7" s="1"/>
    </row>
    <row r="8" spans="2:16" s="3" customFormat="1" ht="45.7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13</v>
      </c>
      <c r="O8" s="9" t="s">
        <v>14</v>
      </c>
      <c r="P8" s="9" t="s">
        <v>15</v>
      </c>
    </row>
    <row r="9" spans="2:16" s="87" customFormat="1" ht="12">
      <c r="B9" s="82">
        <v>1</v>
      </c>
      <c r="C9" s="82">
        <v>43517817</v>
      </c>
      <c r="D9" s="83" t="s">
        <v>671</v>
      </c>
      <c r="E9" s="82" t="s">
        <v>672</v>
      </c>
      <c r="F9" s="84" t="s">
        <v>673</v>
      </c>
      <c r="G9" s="82" t="s">
        <v>68</v>
      </c>
      <c r="H9" s="82" t="s">
        <v>32</v>
      </c>
      <c r="I9" s="85">
        <v>32</v>
      </c>
      <c r="J9" s="85"/>
      <c r="K9" s="85">
        <f>+I9+J9</f>
        <v>32</v>
      </c>
      <c r="L9" s="95">
        <v>15.76</v>
      </c>
      <c r="M9" s="82"/>
      <c r="N9" s="86" t="s">
        <v>674</v>
      </c>
      <c r="O9" s="82">
        <v>951222024</v>
      </c>
      <c r="P9" s="82" t="s">
        <v>675</v>
      </c>
    </row>
    <row r="10" spans="2:16" s="87" customFormat="1" ht="12">
      <c r="B10" s="82">
        <v>2</v>
      </c>
      <c r="C10" s="62">
        <v>40428220</v>
      </c>
      <c r="D10" s="93" t="s">
        <v>676</v>
      </c>
      <c r="E10" s="82" t="s">
        <v>672</v>
      </c>
      <c r="F10" s="84" t="s">
        <v>673</v>
      </c>
      <c r="G10" s="82" t="s">
        <v>68</v>
      </c>
      <c r="H10" s="82" t="s">
        <v>32</v>
      </c>
      <c r="I10" s="85">
        <v>32</v>
      </c>
      <c r="J10" s="85"/>
      <c r="K10" s="85">
        <f>+I10+J10</f>
        <v>32</v>
      </c>
      <c r="L10" s="95">
        <v>15.89</v>
      </c>
      <c r="M10" s="82"/>
      <c r="N10" s="94" t="s">
        <v>677</v>
      </c>
      <c r="O10" s="62">
        <v>992990608</v>
      </c>
      <c r="P10" s="82" t="s">
        <v>675</v>
      </c>
    </row>
    <row r="11" spans="2:16" s="89" customFormat="1">
      <c r="B11" s="88">
        <v>3</v>
      </c>
      <c r="C11" s="88">
        <v>21814775</v>
      </c>
      <c r="D11" s="63" t="s">
        <v>678</v>
      </c>
      <c r="E11" s="88" t="s">
        <v>672</v>
      </c>
      <c r="F11" s="108" t="s">
        <v>679</v>
      </c>
      <c r="G11" s="88" t="s">
        <v>19</v>
      </c>
      <c r="H11" s="88" t="s">
        <v>25</v>
      </c>
      <c r="I11" s="109">
        <v>33</v>
      </c>
      <c r="J11" s="109"/>
      <c r="K11" s="85">
        <f>+I11+J11</f>
        <v>33</v>
      </c>
      <c r="L11" s="95">
        <v>16.7</v>
      </c>
      <c r="M11" s="88"/>
      <c r="N11" s="107" t="s">
        <v>680</v>
      </c>
      <c r="O11" s="62">
        <v>955906921</v>
      </c>
      <c r="P11" s="88" t="s">
        <v>675</v>
      </c>
    </row>
    <row r="12" spans="2:16">
      <c r="B12" s="4">
        <v>4</v>
      </c>
      <c r="C12" s="4"/>
      <c r="D12" s="18"/>
      <c r="E12" s="4" t="s">
        <v>672</v>
      </c>
      <c r="F12" s="18"/>
      <c r="G12" s="4"/>
      <c r="H12" s="4"/>
      <c r="I12" s="12"/>
      <c r="J12" s="12"/>
      <c r="K12" s="12"/>
      <c r="L12" s="14"/>
      <c r="M12" s="4"/>
      <c r="N12" s="18"/>
      <c r="O12" s="4"/>
      <c r="P12" s="4"/>
    </row>
    <row r="13" spans="2:16">
      <c r="B13" s="4">
        <v>5</v>
      </c>
      <c r="C13" s="4"/>
      <c r="D13" s="18"/>
      <c r="E13" s="4" t="s">
        <v>672</v>
      </c>
      <c r="F13" s="18"/>
      <c r="G13" s="4"/>
      <c r="H13" s="4"/>
      <c r="I13" s="12"/>
      <c r="J13" s="12"/>
      <c r="K13" s="12"/>
      <c r="L13" s="14"/>
      <c r="M13" s="4"/>
      <c r="N13" s="18"/>
      <c r="O13" s="4"/>
      <c r="P13" s="4"/>
    </row>
    <row r="14" spans="2:16">
      <c r="B14" s="4">
        <v>6</v>
      </c>
      <c r="C14" s="4"/>
      <c r="D14" s="18"/>
      <c r="E14" s="4" t="s">
        <v>672</v>
      </c>
      <c r="F14" s="18"/>
      <c r="G14" s="4"/>
      <c r="H14" s="4"/>
      <c r="I14" s="12"/>
      <c r="J14" s="12"/>
      <c r="K14" s="12"/>
      <c r="L14" s="14"/>
      <c r="M14" s="4"/>
      <c r="N14" s="18"/>
      <c r="O14" s="4"/>
      <c r="P14" s="4"/>
    </row>
    <row r="15" spans="2:16">
      <c r="B15" s="4">
        <v>7</v>
      </c>
      <c r="C15" s="4"/>
      <c r="D15" s="18"/>
      <c r="E15" s="4" t="s">
        <v>672</v>
      </c>
      <c r="F15" s="18"/>
      <c r="G15" s="4"/>
      <c r="H15" s="4"/>
      <c r="I15" s="12"/>
      <c r="J15" s="12"/>
      <c r="K15" s="12"/>
      <c r="L15" s="14"/>
      <c r="M15" s="4"/>
      <c r="N15" s="18"/>
      <c r="O15" s="4"/>
      <c r="P15" s="4"/>
    </row>
    <row r="16" spans="2:16">
      <c r="B16" s="4">
        <v>8</v>
      </c>
      <c r="C16" s="4"/>
      <c r="D16" s="18"/>
      <c r="E16" s="4" t="s">
        <v>672</v>
      </c>
      <c r="F16" s="18"/>
      <c r="G16" s="4"/>
      <c r="H16" s="4"/>
      <c r="I16" s="12"/>
      <c r="J16" s="12"/>
      <c r="K16" s="12"/>
      <c r="L16" s="14"/>
      <c r="M16" s="4"/>
      <c r="N16" s="18"/>
      <c r="O16" s="4"/>
      <c r="P16" s="4"/>
    </row>
    <row r="17" spans="2:16">
      <c r="B17" s="4">
        <v>9</v>
      </c>
      <c r="C17" s="4"/>
      <c r="D17" s="18"/>
      <c r="E17" s="4" t="s">
        <v>672</v>
      </c>
      <c r="F17" s="18"/>
      <c r="G17" s="4"/>
      <c r="H17" s="4"/>
      <c r="I17" s="12"/>
      <c r="J17" s="12"/>
      <c r="K17" s="12"/>
      <c r="L17" s="14"/>
      <c r="M17" s="4"/>
      <c r="N17" s="18"/>
      <c r="O17" s="4"/>
      <c r="P17" s="4"/>
    </row>
    <row r="18" spans="2:16">
      <c r="B18" s="4">
        <v>10</v>
      </c>
      <c r="C18" s="4"/>
      <c r="D18" s="18"/>
      <c r="E18" s="4" t="s">
        <v>672</v>
      </c>
      <c r="F18" s="18"/>
      <c r="G18" s="4"/>
      <c r="H18" s="4"/>
      <c r="I18" s="12"/>
      <c r="J18" s="12"/>
      <c r="K18" s="12"/>
      <c r="L18" s="14"/>
      <c r="M18" s="4"/>
      <c r="N18" s="18"/>
      <c r="O18" s="4"/>
      <c r="P18" s="4"/>
    </row>
    <row r="19" spans="2:16">
      <c r="B19" s="4">
        <v>11</v>
      </c>
      <c r="C19" s="4"/>
      <c r="D19" s="18"/>
      <c r="E19" s="4" t="s">
        <v>672</v>
      </c>
      <c r="F19" s="18"/>
      <c r="G19" s="4"/>
      <c r="H19" s="4"/>
      <c r="I19" s="12"/>
      <c r="J19" s="12"/>
      <c r="K19" s="12"/>
      <c r="L19" s="14"/>
      <c r="M19" s="4"/>
      <c r="N19" s="18"/>
      <c r="O19" s="4"/>
      <c r="P19" s="4"/>
    </row>
    <row r="20" spans="2:16">
      <c r="B20" s="4">
        <v>12</v>
      </c>
      <c r="C20" s="4"/>
      <c r="D20" s="18"/>
      <c r="E20" s="4" t="s">
        <v>672</v>
      </c>
      <c r="F20" s="18"/>
      <c r="G20" s="4"/>
      <c r="H20" s="4"/>
      <c r="I20" s="12"/>
      <c r="J20" s="12"/>
      <c r="K20" s="12"/>
      <c r="L20" s="14"/>
      <c r="M20" s="4"/>
      <c r="N20" s="18"/>
      <c r="O20" s="4"/>
      <c r="P20" s="4"/>
    </row>
    <row r="21" spans="2:16">
      <c r="B21" s="4">
        <v>13</v>
      </c>
      <c r="C21" s="4"/>
      <c r="D21" s="18"/>
      <c r="E21" s="4" t="s">
        <v>672</v>
      </c>
      <c r="F21" s="18"/>
      <c r="G21" s="4"/>
      <c r="H21" s="4"/>
      <c r="I21" s="12"/>
      <c r="J21" s="12"/>
      <c r="K21" s="12"/>
      <c r="L21" s="14"/>
      <c r="M21" s="4"/>
      <c r="N21" s="18"/>
      <c r="O21" s="4"/>
      <c r="P21" s="4"/>
    </row>
    <row r="22" spans="2:16">
      <c r="B22" s="4">
        <v>14</v>
      </c>
      <c r="C22" s="4"/>
      <c r="D22" s="18"/>
      <c r="E22" s="4" t="s">
        <v>672</v>
      </c>
      <c r="F22" s="18"/>
      <c r="G22" s="4"/>
      <c r="H22" s="4"/>
      <c r="I22" s="12"/>
      <c r="J22" s="12"/>
      <c r="K22" s="12"/>
      <c r="L22" s="14"/>
      <c r="M22" s="4"/>
      <c r="N22" s="18"/>
      <c r="O22" s="4"/>
      <c r="P22" s="4"/>
    </row>
    <row r="23" spans="2:16">
      <c r="B23" s="4">
        <v>15</v>
      </c>
      <c r="C23" s="4"/>
      <c r="D23" s="18"/>
      <c r="E23" s="4" t="s">
        <v>672</v>
      </c>
      <c r="F23" s="18"/>
      <c r="G23" s="4"/>
      <c r="H23" s="4"/>
      <c r="I23" s="12"/>
      <c r="J23" s="12"/>
      <c r="K23" s="12"/>
      <c r="L23" s="14"/>
      <c r="M23" s="4"/>
      <c r="N23" s="18"/>
      <c r="O23" s="4"/>
      <c r="P23" s="4"/>
    </row>
    <row r="24" spans="2:16">
      <c r="B24" s="4">
        <v>16</v>
      </c>
      <c r="C24" s="4"/>
      <c r="D24" s="18"/>
      <c r="E24" s="4" t="s">
        <v>672</v>
      </c>
      <c r="F24" s="18"/>
      <c r="G24" s="4"/>
      <c r="H24" s="4"/>
      <c r="I24" s="12"/>
      <c r="J24" s="12"/>
      <c r="K24" s="12"/>
      <c r="L24" s="14"/>
      <c r="M24" s="4"/>
      <c r="N24" s="18"/>
      <c r="O24" s="4"/>
      <c r="P24" s="4"/>
    </row>
    <row r="25" spans="2:16">
      <c r="B25" s="4">
        <v>17</v>
      </c>
      <c r="C25" s="4"/>
      <c r="D25" s="18"/>
      <c r="E25" s="4" t="s">
        <v>672</v>
      </c>
      <c r="F25" s="18"/>
      <c r="G25" s="4"/>
      <c r="H25" s="4"/>
      <c r="I25" s="12"/>
      <c r="J25" s="12"/>
      <c r="K25" s="12"/>
      <c r="L25" s="14"/>
      <c r="M25" s="4"/>
      <c r="N25" s="18"/>
      <c r="O25" s="4"/>
      <c r="P25" s="4"/>
    </row>
    <row r="26" spans="2:16">
      <c r="B26" s="4">
        <v>18</v>
      </c>
      <c r="C26" s="4"/>
      <c r="D26" s="18"/>
      <c r="E26" s="4" t="s">
        <v>672</v>
      </c>
      <c r="F26" s="18"/>
      <c r="G26" s="4"/>
      <c r="H26" s="4"/>
      <c r="I26" s="12"/>
      <c r="J26" s="12"/>
      <c r="K26" s="12"/>
      <c r="L26" s="14"/>
      <c r="M26" s="4"/>
      <c r="N26" s="18"/>
      <c r="O26" s="4"/>
      <c r="P26" s="4"/>
    </row>
    <row r="27" spans="2:16">
      <c r="B27" s="4">
        <v>19</v>
      </c>
      <c r="C27" s="4"/>
      <c r="D27" s="18"/>
      <c r="E27" s="4" t="s">
        <v>672</v>
      </c>
      <c r="F27" s="18"/>
      <c r="G27" s="4"/>
      <c r="H27" s="4"/>
      <c r="I27" s="12"/>
      <c r="J27" s="12"/>
      <c r="K27" s="12"/>
      <c r="L27" s="14"/>
      <c r="M27" s="4"/>
      <c r="N27" s="18"/>
      <c r="O27" s="4"/>
      <c r="P27" s="4"/>
    </row>
    <row r="28" spans="2:16">
      <c r="B28" s="4">
        <v>20</v>
      </c>
      <c r="C28" s="4"/>
      <c r="D28" s="18"/>
      <c r="E28" s="4" t="s">
        <v>672</v>
      </c>
      <c r="F28" s="18"/>
      <c r="G28" s="4"/>
      <c r="H28" s="4"/>
      <c r="I28" s="12"/>
      <c r="J28" s="12"/>
      <c r="K28" s="12"/>
      <c r="L28" s="14"/>
      <c r="M28" s="4"/>
      <c r="N28" s="18"/>
      <c r="O28" s="4"/>
      <c r="P28" s="4"/>
    </row>
    <row r="29" spans="2:16">
      <c r="B29" s="4">
        <v>21</v>
      </c>
      <c r="C29" s="4"/>
      <c r="D29" s="18"/>
      <c r="E29" s="4" t="s">
        <v>672</v>
      </c>
      <c r="F29" s="18"/>
      <c r="G29" s="4"/>
      <c r="H29" s="4"/>
      <c r="I29" s="12"/>
      <c r="J29" s="12"/>
      <c r="K29" s="12"/>
      <c r="L29" s="14"/>
      <c r="M29" s="4"/>
      <c r="N29" s="18"/>
      <c r="O29" s="4"/>
      <c r="P29" s="4"/>
    </row>
    <row r="30" spans="2:16">
      <c r="B30" s="4">
        <v>22</v>
      </c>
      <c r="C30" s="4"/>
      <c r="D30" s="18"/>
      <c r="E30" s="4" t="s">
        <v>672</v>
      </c>
      <c r="F30" s="18"/>
      <c r="G30" s="4"/>
      <c r="H30" s="4"/>
      <c r="I30" s="12"/>
      <c r="J30" s="12"/>
      <c r="K30" s="12"/>
      <c r="L30" s="14"/>
      <c r="M30" s="4"/>
      <c r="N30" s="18"/>
      <c r="O30" s="4"/>
      <c r="P30" s="4"/>
    </row>
    <row r="31" spans="2:16">
      <c r="B31" s="4">
        <v>23</v>
      </c>
      <c r="C31" s="4"/>
      <c r="D31" s="18"/>
      <c r="E31" s="4" t="s">
        <v>672</v>
      </c>
      <c r="F31" s="18"/>
      <c r="G31" s="4"/>
      <c r="H31" s="4"/>
      <c r="I31" s="12"/>
      <c r="J31" s="12"/>
      <c r="K31" s="12"/>
      <c r="L31" s="14"/>
      <c r="M31" s="4"/>
      <c r="N31" s="18"/>
      <c r="O31" s="4"/>
      <c r="P31" s="4"/>
    </row>
    <row r="32" spans="2:16">
      <c r="B32" s="4">
        <v>24</v>
      </c>
      <c r="C32" s="4"/>
      <c r="D32" s="18"/>
      <c r="E32" s="4" t="s">
        <v>672</v>
      </c>
      <c r="F32" s="18"/>
      <c r="G32" s="4"/>
      <c r="H32" s="4"/>
      <c r="I32" s="12"/>
      <c r="J32" s="12"/>
      <c r="K32" s="12"/>
      <c r="L32" s="14"/>
      <c r="M32" s="4"/>
      <c r="N32" s="18"/>
      <c r="O32" s="4"/>
      <c r="P32" s="4"/>
    </row>
    <row r="33" spans="2:16">
      <c r="B33" s="4">
        <v>25</v>
      </c>
      <c r="C33" s="4"/>
      <c r="D33" s="18"/>
      <c r="E33" s="4" t="s">
        <v>672</v>
      </c>
      <c r="F33" s="18"/>
      <c r="G33" s="4"/>
      <c r="H33" s="4"/>
      <c r="I33" s="12"/>
      <c r="J33" s="12"/>
      <c r="K33" s="12"/>
      <c r="L33" s="14"/>
      <c r="M33" s="4"/>
      <c r="N33" s="18"/>
      <c r="O33" s="4"/>
      <c r="P33" s="4"/>
    </row>
    <row r="34" spans="2:16">
      <c r="B34" s="4">
        <v>26</v>
      </c>
      <c r="C34" s="4"/>
      <c r="D34" s="18"/>
      <c r="E34" s="4" t="s">
        <v>672</v>
      </c>
      <c r="F34" s="18"/>
      <c r="G34" s="4"/>
      <c r="H34" s="4"/>
      <c r="I34" s="12"/>
      <c r="J34" s="12"/>
      <c r="K34" s="12"/>
      <c r="L34" s="14"/>
      <c r="M34" s="4"/>
      <c r="N34" s="18"/>
      <c r="O34" s="4"/>
      <c r="P34" s="4"/>
    </row>
    <row r="35" spans="2:16">
      <c r="B35" s="4">
        <v>27</v>
      </c>
      <c r="C35" s="4"/>
      <c r="D35" s="18"/>
      <c r="E35" s="4" t="s">
        <v>672</v>
      </c>
      <c r="F35" s="18"/>
      <c r="G35" s="4"/>
      <c r="H35" s="4"/>
      <c r="I35" s="12"/>
      <c r="J35" s="12"/>
      <c r="K35" s="12"/>
      <c r="L35" s="14"/>
      <c r="M35" s="4"/>
      <c r="N35" s="18"/>
      <c r="O35" s="4"/>
      <c r="P35" s="4"/>
    </row>
    <row r="36" spans="2:16">
      <c r="B36" s="4">
        <v>28</v>
      </c>
      <c r="C36" s="4"/>
      <c r="D36" s="18"/>
      <c r="E36" s="4" t="s">
        <v>672</v>
      </c>
      <c r="F36" s="18"/>
      <c r="G36" s="4"/>
      <c r="H36" s="4"/>
      <c r="I36" s="12"/>
      <c r="J36" s="12"/>
      <c r="K36" s="12"/>
      <c r="L36" s="14"/>
      <c r="M36" s="4"/>
      <c r="N36" s="18"/>
      <c r="O36" s="4"/>
      <c r="P36" s="4"/>
    </row>
    <row r="37" spans="2:16">
      <c r="B37" s="4">
        <v>29</v>
      </c>
      <c r="C37" s="4"/>
      <c r="D37" s="18"/>
      <c r="E37" s="4" t="s">
        <v>672</v>
      </c>
      <c r="F37" s="18"/>
      <c r="G37" s="4"/>
      <c r="H37" s="4"/>
      <c r="I37" s="12"/>
      <c r="J37" s="12"/>
      <c r="K37" s="12"/>
      <c r="L37" s="14"/>
      <c r="M37" s="4"/>
      <c r="N37" s="18"/>
      <c r="O37" s="4"/>
      <c r="P37" s="4"/>
    </row>
    <row r="38" spans="2:16">
      <c r="B38" s="4">
        <v>30</v>
      </c>
      <c r="C38" s="4"/>
      <c r="D38" s="18"/>
      <c r="E38" s="4" t="s">
        <v>672</v>
      </c>
      <c r="F38" s="18"/>
      <c r="G38" s="4"/>
      <c r="H38" s="4"/>
      <c r="I38" s="12"/>
      <c r="J38" s="12"/>
      <c r="K38" s="12"/>
      <c r="L38" s="14"/>
      <c r="M38" s="4"/>
      <c r="N38" s="18"/>
      <c r="O38" s="4"/>
      <c r="P38" s="4"/>
    </row>
    <row r="39" spans="2:16">
      <c r="B39" s="4">
        <v>31</v>
      </c>
      <c r="C39" s="4"/>
      <c r="D39" s="18"/>
      <c r="E39" s="4" t="s">
        <v>672</v>
      </c>
      <c r="F39" s="18"/>
      <c r="G39" s="4"/>
      <c r="H39" s="4"/>
      <c r="I39" s="12"/>
      <c r="J39" s="12"/>
      <c r="K39" s="12"/>
      <c r="L39" s="14"/>
      <c r="M39" s="4"/>
      <c r="N39" s="18"/>
      <c r="O39" s="4"/>
      <c r="P39" s="4"/>
    </row>
    <row r="40" spans="2:16">
      <c r="B40" s="4">
        <v>32</v>
      </c>
      <c r="C40" s="4"/>
      <c r="D40" s="18"/>
      <c r="E40" s="4" t="s">
        <v>672</v>
      </c>
      <c r="F40" s="18"/>
      <c r="G40" s="4"/>
      <c r="H40" s="4"/>
      <c r="I40" s="12"/>
      <c r="J40" s="12"/>
      <c r="K40" s="12"/>
      <c r="L40" s="14"/>
      <c r="M40" s="4"/>
      <c r="N40" s="18"/>
      <c r="O40" s="4"/>
      <c r="P40" s="4"/>
    </row>
    <row r="41" spans="2:16">
      <c r="B41" s="4">
        <v>34</v>
      </c>
      <c r="C41" s="4"/>
      <c r="D41" s="18"/>
      <c r="E41" s="4" t="s">
        <v>672</v>
      </c>
      <c r="F41" s="18"/>
      <c r="G41" s="4"/>
      <c r="H41" s="4"/>
      <c r="I41" s="12"/>
      <c r="J41" s="12"/>
      <c r="K41" s="12"/>
      <c r="L41" s="14"/>
      <c r="M41" s="4"/>
      <c r="N41" s="18"/>
      <c r="O41" s="4"/>
      <c r="P41" s="4"/>
    </row>
    <row r="42" spans="2:16">
      <c r="B42" s="4">
        <v>35</v>
      </c>
      <c r="C42" s="4"/>
      <c r="D42" s="18"/>
      <c r="E42" s="4" t="s">
        <v>672</v>
      </c>
      <c r="F42" s="18"/>
      <c r="G42" s="4"/>
      <c r="H42" s="4"/>
      <c r="I42" s="12"/>
      <c r="J42" s="12"/>
      <c r="K42" s="12"/>
      <c r="L42" s="14"/>
      <c r="M42" s="4"/>
      <c r="N42" s="18"/>
      <c r="O42" s="4"/>
      <c r="P42" s="4"/>
    </row>
    <row r="43" spans="2:16">
      <c r="B43" s="4">
        <v>36</v>
      </c>
      <c r="C43" s="4"/>
      <c r="D43" s="18"/>
      <c r="E43" s="4" t="s">
        <v>672</v>
      </c>
      <c r="F43" s="18"/>
      <c r="G43" s="4"/>
      <c r="H43" s="4"/>
      <c r="I43" s="12"/>
      <c r="J43" s="12"/>
      <c r="K43" s="12"/>
      <c r="L43" s="14"/>
      <c r="M43" s="4"/>
      <c r="N43" s="18"/>
      <c r="O43" s="4"/>
      <c r="P43" s="4"/>
    </row>
    <row r="44" spans="2:16">
      <c r="B44" s="4">
        <v>37</v>
      </c>
      <c r="C44" s="4"/>
      <c r="D44" s="18"/>
      <c r="E44" s="4" t="s">
        <v>672</v>
      </c>
      <c r="F44" s="18"/>
      <c r="G44" s="4"/>
      <c r="H44" s="4"/>
      <c r="I44" s="12"/>
      <c r="J44" s="12"/>
      <c r="K44" s="12"/>
      <c r="L44" s="14"/>
      <c r="M44" s="4"/>
      <c r="N44" s="18"/>
      <c r="O44" s="4"/>
      <c r="P44" s="4"/>
    </row>
    <row r="45" spans="2:16">
      <c r="B45" s="4">
        <v>38</v>
      </c>
      <c r="C45" s="4"/>
      <c r="D45" s="18"/>
      <c r="E45" s="4" t="s">
        <v>672</v>
      </c>
      <c r="F45" s="18"/>
      <c r="G45" s="4"/>
      <c r="H45" s="4"/>
      <c r="I45" s="12"/>
      <c r="J45" s="12"/>
      <c r="K45" s="12"/>
      <c r="L45" s="14"/>
      <c r="M45" s="4"/>
      <c r="N45" s="18"/>
      <c r="O45" s="4"/>
      <c r="P45" s="4"/>
    </row>
    <row r="46" spans="2:16">
      <c r="B46" s="4">
        <v>39</v>
      </c>
      <c r="C46" s="4"/>
      <c r="D46" s="18"/>
      <c r="E46" s="4" t="s">
        <v>672</v>
      </c>
      <c r="F46" s="18"/>
      <c r="G46" s="4"/>
      <c r="H46" s="4"/>
      <c r="I46" s="12"/>
      <c r="J46" s="12"/>
      <c r="K46" s="12"/>
      <c r="L46" s="14"/>
      <c r="M46" s="4"/>
      <c r="N46" s="18"/>
      <c r="O46" s="4"/>
      <c r="P46" s="4"/>
    </row>
    <row r="47" spans="2:16">
      <c r="B47" s="4">
        <v>40</v>
      </c>
      <c r="C47" s="4"/>
      <c r="D47" s="18"/>
      <c r="E47" s="4" t="s">
        <v>672</v>
      </c>
      <c r="F47" s="18"/>
      <c r="G47" s="4"/>
      <c r="H47" s="4"/>
      <c r="I47" s="12"/>
      <c r="J47" s="12"/>
      <c r="K47" s="12"/>
      <c r="L47" s="14"/>
      <c r="M47" s="4"/>
      <c r="N47" s="18"/>
      <c r="O47" s="4"/>
      <c r="P47" s="4"/>
    </row>
    <row r="48" spans="2:16">
      <c r="B48" s="4">
        <v>41</v>
      </c>
      <c r="C48" s="4"/>
      <c r="D48" s="18"/>
      <c r="E48" s="4" t="s">
        <v>672</v>
      </c>
      <c r="F48" s="18"/>
      <c r="G48" s="4"/>
      <c r="H48" s="4"/>
      <c r="I48" s="12"/>
      <c r="J48" s="12"/>
      <c r="K48" s="12"/>
      <c r="L48" s="14"/>
      <c r="M48" s="4"/>
      <c r="N48" s="18"/>
      <c r="O48" s="4"/>
      <c r="P48" s="4"/>
    </row>
    <row r="49" spans="2:16">
      <c r="B49" s="4">
        <v>42</v>
      </c>
      <c r="C49" s="4"/>
      <c r="D49" s="18"/>
      <c r="E49" s="4" t="s">
        <v>672</v>
      </c>
      <c r="F49" s="18"/>
      <c r="G49" s="4"/>
      <c r="H49" s="4"/>
      <c r="I49" s="12"/>
      <c r="J49" s="12"/>
      <c r="K49" s="12"/>
      <c r="L49" s="14"/>
      <c r="M49" s="4"/>
      <c r="N49" s="18"/>
      <c r="O49" s="4"/>
      <c r="P49" s="4"/>
    </row>
    <row r="50" spans="2:16">
      <c r="B50" s="4">
        <v>43</v>
      </c>
      <c r="C50" s="4"/>
      <c r="D50" s="18"/>
      <c r="E50" s="4" t="s">
        <v>672</v>
      </c>
      <c r="F50" s="18"/>
      <c r="G50" s="4"/>
      <c r="H50" s="4"/>
      <c r="I50" s="12"/>
      <c r="J50" s="12"/>
      <c r="K50" s="12"/>
      <c r="L50" s="14"/>
      <c r="M50" s="4"/>
      <c r="N50" s="18"/>
      <c r="O50" s="4"/>
      <c r="P50" s="4"/>
    </row>
    <row r="51" spans="2:16">
      <c r="B51" s="4">
        <v>44</v>
      </c>
      <c r="C51" s="4"/>
      <c r="D51" s="18"/>
      <c r="E51" s="4" t="s">
        <v>672</v>
      </c>
      <c r="F51" s="18"/>
      <c r="G51" s="4"/>
      <c r="H51" s="4"/>
      <c r="I51" s="12"/>
      <c r="J51" s="12"/>
      <c r="K51" s="12"/>
      <c r="L51" s="14"/>
      <c r="M51" s="4"/>
      <c r="N51" s="18"/>
      <c r="O51" s="4"/>
      <c r="P51" s="4"/>
    </row>
    <row r="52" spans="2:16">
      <c r="B52" s="4">
        <v>45</v>
      </c>
      <c r="C52" s="4"/>
      <c r="D52" s="18"/>
      <c r="E52" s="4" t="s">
        <v>672</v>
      </c>
      <c r="F52" s="18"/>
      <c r="G52" s="4"/>
      <c r="H52" s="4"/>
      <c r="I52" s="12"/>
      <c r="J52" s="12"/>
      <c r="K52" s="12"/>
      <c r="L52" s="14"/>
      <c r="M52" s="4"/>
      <c r="N52" s="18"/>
      <c r="O52" s="4"/>
      <c r="P52" s="4"/>
    </row>
    <row r="53" spans="2:16">
      <c r="B53" s="4">
        <v>46</v>
      </c>
      <c r="C53" s="4"/>
      <c r="D53" s="18"/>
      <c r="E53" s="4" t="s">
        <v>672</v>
      </c>
      <c r="F53" s="18"/>
      <c r="G53" s="4"/>
      <c r="H53" s="4"/>
      <c r="I53" s="12"/>
      <c r="J53" s="12"/>
      <c r="K53" s="12"/>
      <c r="L53" s="14"/>
      <c r="M53" s="4"/>
      <c r="N53" s="18"/>
      <c r="O53" s="4"/>
      <c r="P53" s="4"/>
    </row>
    <row r="54" spans="2:16">
      <c r="B54" s="4">
        <v>47</v>
      </c>
      <c r="C54" s="4"/>
      <c r="D54" s="18"/>
      <c r="E54" s="4" t="s">
        <v>672</v>
      </c>
      <c r="F54" s="18"/>
      <c r="G54" s="4"/>
      <c r="H54" s="4"/>
      <c r="I54" s="12"/>
      <c r="J54" s="12"/>
      <c r="K54" s="12"/>
      <c r="L54" s="14"/>
      <c r="M54" s="4"/>
      <c r="N54" s="18"/>
      <c r="O54" s="4"/>
      <c r="P54" s="4"/>
    </row>
    <row r="55" spans="2:16">
      <c r="B55" s="4">
        <v>48</v>
      </c>
      <c r="C55" s="4"/>
      <c r="D55" s="18"/>
      <c r="E55" s="4" t="s">
        <v>672</v>
      </c>
      <c r="F55" s="18"/>
      <c r="G55" s="4"/>
      <c r="H55" s="4"/>
      <c r="I55" s="12"/>
      <c r="J55" s="12"/>
      <c r="K55" s="12"/>
      <c r="L55" s="14"/>
      <c r="M55" s="4"/>
      <c r="N55" s="18"/>
      <c r="O55" s="4"/>
      <c r="P55" s="4"/>
    </row>
    <row r="56" spans="2:16">
      <c r="B56" s="4">
        <v>49</v>
      </c>
      <c r="C56" s="4"/>
      <c r="D56" s="18"/>
      <c r="E56" s="4" t="s">
        <v>672</v>
      </c>
      <c r="F56" s="18"/>
      <c r="G56" s="4"/>
      <c r="H56" s="4"/>
      <c r="I56" s="12"/>
      <c r="J56" s="12"/>
      <c r="K56" s="12"/>
      <c r="L56" s="14"/>
      <c r="M56" s="4"/>
      <c r="N56" s="18"/>
      <c r="O56" s="4"/>
      <c r="P56" s="4"/>
    </row>
    <row r="57" spans="2:16">
      <c r="B57" s="4">
        <v>50</v>
      </c>
      <c r="C57" s="4"/>
      <c r="D57" s="18"/>
      <c r="E57" s="4" t="s">
        <v>672</v>
      </c>
      <c r="F57" s="18"/>
      <c r="G57" s="4"/>
      <c r="H57" s="4"/>
      <c r="I57" s="12"/>
      <c r="J57" s="12"/>
      <c r="K57" s="12"/>
      <c r="L57" s="14"/>
      <c r="M57" s="4"/>
      <c r="N57" s="18"/>
      <c r="O57" s="4"/>
      <c r="P57" s="4"/>
    </row>
  </sheetData>
  <mergeCells count="1">
    <mergeCell ref="B6:P6"/>
  </mergeCells>
  <conditionalFormatting sqref="C10">
    <cfRule type="duplicateValues" dxfId="74" priority="1"/>
    <cfRule type="duplicateValues" dxfId="73" priority="2"/>
  </conditionalFormatting>
  <hyperlinks>
    <hyperlink ref="N9" r:id="rId1" xr:uid="{878099E0-08F1-4042-891A-B92F8711D41A}"/>
    <hyperlink ref="N10" r:id="rId2" xr:uid="{BF36A087-4C53-426B-A960-3102612C8AF9}"/>
    <hyperlink ref="N11" r:id="rId3" xr:uid="{B5C11EEC-7471-4801-867D-075889EF15D8}"/>
  </hyperlinks>
  <pageMargins left="0.7" right="0.7" top="0.75" bottom="0.75" header="0.3" footer="0.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D0E7-B03C-4303-A27C-36AA7DA05A96}">
  <sheetPr>
    <tabColor rgb="FF002060"/>
  </sheetPr>
  <dimension ref="B1:M137"/>
  <sheetViews>
    <sheetView topLeftCell="A4" workbookViewId="0">
      <selection activeCell="L20" sqref="L20"/>
    </sheetView>
  </sheetViews>
  <sheetFormatPr defaultColWidth="9.140625" defaultRowHeight="15"/>
  <cols>
    <col min="1" max="1" width="2.85546875" customWidth="1"/>
    <col min="2" max="2" width="4.140625" bestFit="1" customWidth="1"/>
    <col min="3" max="3" width="10.5703125" style="1" customWidth="1"/>
    <col min="4" max="4" width="43.7109375" bestFit="1" customWidth="1"/>
    <col min="5" max="5" width="9.140625" customWidth="1"/>
    <col min="6" max="6" width="31.85546875" bestFit="1" customWidth="1"/>
    <col min="7" max="7" width="9.140625" customWidth="1"/>
    <col min="8" max="8" width="10.7109375" bestFit="1" customWidth="1"/>
    <col min="9" max="9" width="14.5703125" style="1" bestFit="1" customWidth="1"/>
    <col min="10" max="10" width="19.28515625" style="1" customWidth="1"/>
    <col min="11" max="11" width="36.42578125" bestFit="1" customWidth="1"/>
    <col min="12" max="12" width="17.85546875" style="1" customWidth="1"/>
    <col min="13" max="13" width="20.140625" customWidth="1"/>
  </cols>
  <sheetData>
    <row r="1" spans="2:13">
      <c r="M1" s="1"/>
    </row>
    <row r="2" spans="2:13">
      <c r="M2" s="1"/>
    </row>
    <row r="3" spans="2:13">
      <c r="M3" s="1"/>
    </row>
    <row r="4" spans="2:13">
      <c r="M4" s="1"/>
    </row>
    <row r="5" spans="2:13">
      <c r="M5" s="1"/>
    </row>
    <row r="6" spans="2:13" ht="49.15" customHeight="1">
      <c r="B6" s="112" t="s">
        <v>681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</row>
    <row r="7" spans="2:13">
      <c r="M7" s="1"/>
    </row>
    <row r="8" spans="2:13" s="11" customFormat="1" ht="34.1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11</v>
      </c>
      <c r="K8" s="9" t="s">
        <v>13</v>
      </c>
      <c r="L8" s="9" t="s">
        <v>14</v>
      </c>
      <c r="M8" s="9" t="s">
        <v>15</v>
      </c>
    </row>
    <row r="9" spans="2:13" s="87" customFormat="1" ht="12">
      <c r="B9" s="82">
        <v>1</v>
      </c>
      <c r="C9" s="62">
        <v>41239504</v>
      </c>
      <c r="D9" s="63" t="s">
        <v>682</v>
      </c>
      <c r="E9" s="83" t="s">
        <v>672</v>
      </c>
      <c r="F9" s="83" t="s">
        <v>683</v>
      </c>
      <c r="G9" s="83" t="s">
        <v>68</v>
      </c>
      <c r="H9" s="83" t="s">
        <v>32</v>
      </c>
      <c r="I9" s="82">
        <v>16</v>
      </c>
      <c r="J9" s="95">
        <v>15.14</v>
      </c>
      <c r="K9" s="76" t="s">
        <v>684</v>
      </c>
      <c r="L9" s="62">
        <v>992085961</v>
      </c>
      <c r="M9" s="83" t="s">
        <v>675</v>
      </c>
    </row>
    <row r="10" spans="2:13" s="87" customFormat="1" ht="12">
      <c r="B10" s="82">
        <v>2</v>
      </c>
      <c r="C10" s="82">
        <v>33826021</v>
      </c>
      <c r="D10" s="83" t="s">
        <v>685</v>
      </c>
      <c r="E10" s="83" t="s">
        <v>672</v>
      </c>
      <c r="F10" s="83" t="s">
        <v>686</v>
      </c>
      <c r="G10" s="83" t="s">
        <v>68</v>
      </c>
      <c r="H10" s="83" t="s">
        <v>32</v>
      </c>
      <c r="I10" s="82">
        <v>15</v>
      </c>
      <c r="J10" s="95">
        <v>15.29</v>
      </c>
      <c r="K10" s="76" t="s">
        <v>687</v>
      </c>
      <c r="L10" s="62">
        <v>989038202</v>
      </c>
      <c r="M10" s="83" t="s">
        <v>675</v>
      </c>
    </row>
    <row r="11" spans="2:13" s="87" customFormat="1" ht="12">
      <c r="B11" s="82">
        <v>3</v>
      </c>
      <c r="C11" s="82">
        <v>42212783</v>
      </c>
      <c r="D11" s="83" t="s">
        <v>688</v>
      </c>
      <c r="E11" s="83" t="s">
        <v>672</v>
      </c>
      <c r="F11" s="83" t="s">
        <v>673</v>
      </c>
      <c r="G11" s="83" t="s">
        <v>68</v>
      </c>
      <c r="H11" s="83" t="s">
        <v>32</v>
      </c>
      <c r="I11" s="82">
        <v>10</v>
      </c>
      <c r="J11" s="95">
        <v>14.41</v>
      </c>
      <c r="K11" s="76" t="s">
        <v>689</v>
      </c>
      <c r="L11" s="62">
        <v>960064109</v>
      </c>
      <c r="M11" s="83" t="s">
        <v>675</v>
      </c>
    </row>
    <row r="12" spans="2:13" s="87" customFormat="1" ht="12">
      <c r="B12" s="82">
        <v>4</v>
      </c>
      <c r="C12" s="62">
        <v>40822577</v>
      </c>
      <c r="D12" s="63" t="s">
        <v>690</v>
      </c>
      <c r="E12" s="83" t="s">
        <v>672</v>
      </c>
      <c r="F12" s="83" t="s">
        <v>673</v>
      </c>
      <c r="G12" s="83" t="s">
        <v>68</v>
      </c>
      <c r="H12" s="83" t="s">
        <v>32</v>
      </c>
      <c r="I12" s="82">
        <v>16</v>
      </c>
      <c r="J12" s="95">
        <v>14.53</v>
      </c>
      <c r="K12" s="76" t="s">
        <v>691</v>
      </c>
      <c r="L12" s="62">
        <v>957786821</v>
      </c>
      <c r="M12" s="83" t="s">
        <v>675</v>
      </c>
    </row>
    <row r="13" spans="2:13" s="87" customFormat="1" ht="12">
      <c r="B13" s="82">
        <v>5</v>
      </c>
      <c r="C13" s="82" t="s">
        <v>692</v>
      </c>
      <c r="D13" s="83" t="s">
        <v>693</v>
      </c>
      <c r="E13" s="83" t="s">
        <v>672</v>
      </c>
      <c r="F13" s="83" t="s">
        <v>686</v>
      </c>
      <c r="G13" s="83" t="s">
        <v>68</v>
      </c>
      <c r="H13" s="83" t="s">
        <v>32</v>
      </c>
      <c r="I13" s="82">
        <v>10</v>
      </c>
      <c r="J13" s="95">
        <v>15.5</v>
      </c>
      <c r="K13" s="76" t="s">
        <v>694</v>
      </c>
      <c r="L13" s="62">
        <v>940716638</v>
      </c>
      <c r="M13" s="83" t="s">
        <v>675</v>
      </c>
    </row>
    <row r="14" spans="2:13" s="87" customFormat="1" ht="12">
      <c r="B14" s="82">
        <v>6</v>
      </c>
      <c r="C14" s="62">
        <v>41208519</v>
      </c>
      <c r="D14" s="63" t="s">
        <v>695</v>
      </c>
      <c r="E14" s="83" t="s">
        <v>672</v>
      </c>
      <c r="F14" s="83" t="s">
        <v>673</v>
      </c>
      <c r="G14" s="83" t="s">
        <v>68</v>
      </c>
      <c r="H14" s="83" t="s">
        <v>32</v>
      </c>
      <c r="I14" s="82">
        <v>15</v>
      </c>
      <c r="J14" s="95">
        <v>15.19</v>
      </c>
      <c r="K14" s="76" t="s">
        <v>696</v>
      </c>
      <c r="L14" s="62">
        <v>985001402</v>
      </c>
      <c r="M14" s="83" t="s">
        <v>675</v>
      </c>
    </row>
    <row r="15" spans="2:13" s="87" customFormat="1" ht="12">
      <c r="B15" s="82">
        <v>7</v>
      </c>
      <c r="C15" s="62">
        <v>44398451</v>
      </c>
      <c r="D15" s="83" t="s">
        <v>697</v>
      </c>
      <c r="E15" s="83" t="s">
        <v>672</v>
      </c>
      <c r="F15" s="83" t="s">
        <v>673</v>
      </c>
      <c r="G15" s="83" t="s">
        <v>68</v>
      </c>
      <c r="H15" s="83" t="s">
        <v>32</v>
      </c>
      <c r="I15" s="82">
        <v>14</v>
      </c>
      <c r="J15" s="95">
        <v>14.84</v>
      </c>
      <c r="K15" s="76" t="s">
        <v>698</v>
      </c>
      <c r="L15" s="62">
        <v>989336775</v>
      </c>
      <c r="M15" s="83" t="s">
        <v>675</v>
      </c>
    </row>
    <row r="16" spans="2:13" s="87" customFormat="1" ht="12">
      <c r="B16" s="82">
        <v>8</v>
      </c>
      <c r="C16" s="62">
        <v>45165102</v>
      </c>
      <c r="D16" s="63" t="s">
        <v>699</v>
      </c>
      <c r="E16" s="83" t="s">
        <v>672</v>
      </c>
      <c r="F16" s="83" t="s">
        <v>673</v>
      </c>
      <c r="G16" s="83" t="s">
        <v>68</v>
      </c>
      <c r="H16" s="83" t="s">
        <v>32</v>
      </c>
      <c r="I16" s="82">
        <v>8</v>
      </c>
      <c r="J16" s="95">
        <v>14.51</v>
      </c>
      <c r="K16" s="76" t="s">
        <v>700</v>
      </c>
      <c r="L16" s="62">
        <v>952944920</v>
      </c>
      <c r="M16" s="83" t="s">
        <v>675</v>
      </c>
    </row>
    <row r="17" spans="2:13" s="87" customFormat="1" ht="12">
      <c r="B17" s="82">
        <v>9</v>
      </c>
      <c r="C17" s="100">
        <v>21814921</v>
      </c>
      <c r="D17" s="63" t="s">
        <v>701</v>
      </c>
      <c r="E17" s="83" t="s">
        <v>672</v>
      </c>
      <c r="F17" s="83" t="s">
        <v>702</v>
      </c>
      <c r="G17" s="83" t="s">
        <v>19</v>
      </c>
      <c r="H17" s="83" t="s">
        <v>32</v>
      </c>
      <c r="I17" s="82">
        <v>19</v>
      </c>
      <c r="J17" s="95">
        <v>16.350000000000001</v>
      </c>
      <c r="K17" s="101" t="s">
        <v>703</v>
      </c>
      <c r="L17" s="102">
        <v>906408102</v>
      </c>
      <c r="M17" s="83" t="s">
        <v>675</v>
      </c>
    </row>
    <row r="18" spans="2:13" s="87" customFormat="1" ht="12">
      <c r="B18" s="82">
        <v>10</v>
      </c>
      <c r="C18" s="104">
        <v>21522173</v>
      </c>
      <c r="D18" s="63" t="s">
        <v>704</v>
      </c>
      <c r="E18" s="83" t="s">
        <v>672</v>
      </c>
      <c r="F18" s="83" t="s">
        <v>679</v>
      </c>
      <c r="G18" s="83" t="s">
        <v>40</v>
      </c>
      <c r="H18" s="83" t="s">
        <v>20</v>
      </c>
      <c r="I18" s="82">
        <v>16</v>
      </c>
      <c r="J18" s="95">
        <v>15.61</v>
      </c>
      <c r="K18" s="80" t="s">
        <v>705</v>
      </c>
      <c r="L18" s="82">
        <v>920660685</v>
      </c>
      <c r="M18" s="83" t="s">
        <v>675</v>
      </c>
    </row>
    <row r="19" spans="2:13" s="87" customFormat="1" ht="12">
      <c r="B19" s="82">
        <v>11</v>
      </c>
      <c r="C19" s="82" t="s">
        <v>706</v>
      </c>
      <c r="D19" s="63" t="s">
        <v>707</v>
      </c>
      <c r="E19" s="83" t="s">
        <v>672</v>
      </c>
      <c r="F19" s="83" t="s">
        <v>679</v>
      </c>
      <c r="G19" s="83" t="s">
        <v>19</v>
      </c>
      <c r="H19" s="83" t="s">
        <v>20</v>
      </c>
      <c r="I19" s="82">
        <v>8</v>
      </c>
      <c r="J19" s="95">
        <v>14.07</v>
      </c>
      <c r="K19" s="80" t="s">
        <v>708</v>
      </c>
      <c r="L19" s="82">
        <v>956083663</v>
      </c>
      <c r="M19" s="83" t="s">
        <v>675</v>
      </c>
    </row>
    <row r="20" spans="2:13" s="87" customFormat="1" ht="12">
      <c r="B20" s="82">
        <v>12</v>
      </c>
      <c r="C20" s="62">
        <v>41461731</v>
      </c>
      <c r="D20" s="63" t="s">
        <v>709</v>
      </c>
      <c r="E20" s="83" t="s">
        <v>672</v>
      </c>
      <c r="F20" s="83" t="s">
        <v>710</v>
      </c>
      <c r="G20" s="83" t="s">
        <v>40</v>
      </c>
      <c r="H20" s="83" t="s">
        <v>32</v>
      </c>
      <c r="I20" s="82">
        <v>15</v>
      </c>
      <c r="J20" s="95">
        <v>16.239999999999998</v>
      </c>
      <c r="K20" s="76" t="s">
        <v>711</v>
      </c>
      <c r="L20" s="50"/>
      <c r="M20" s="83" t="s">
        <v>675</v>
      </c>
    </row>
    <row r="21" spans="2:13" s="51" customFormat="1" ht="12">
      <c r="B21" s="49">
        <v>13</v>
      </c>
      <c r="C21" s="49"/>
      <c r="D21" s="48"/>
      <c r="E21" s="48"/>
      <c r="F21" s="48"/>
      <c r="G21" s="48"/>
      <c r="H21" s="48"/>
      <c r="I21" s="49"/>
      <c r="J21" s="14"/>
      <c r="K21" s="48"/>
      <c r="L21" s="49"/>
      <c r="M21" s="48"/>
    </row>
    <row r="22" spans="2:13" s="51" customFormat="1" ht="12">
      <c r="B22" s="49">
        <v>14</v>
      </c>
      <c r="C22" s="49"/>
      <c r="D22" s="48"/>
      <c r="E22" s="48"/>
      <c r="F22" s="48"/>
      <c r="G22" s="48"/>
      <c r="H22" s="48"/>
      <c r="I22" s="49"/>
      <c r="J22" s="14"/>
      <c r="K22" s="48"/>
      <c r="L22" s="49"/>
      <c r="M22" s="48"/>
    </row>
    <row r="23" spans="2:13" s="51" customFormat="1" ht="12">
      <c r="B23" s="49">
        <v>15</v>
      </c>
      <c r="C23" s="49"/>
      <c r="D23" s="48"/>
      <c r="E23" s="48"/>
      <c r="F23" s="48"/>
      <c r="G23" s="48"/>
      <c r="H23" s="48"/>
      <c r="I23" s="49"/>
      <c r="J23" s="14"/>
      <c r="K23" s="48"/>
      <c r="L23" s="49"/>
      <c r="M23" s="48"/>
    </row>
    <row r="24" spans="2:13" s="51" customFormat="1" ht="12">
      <c r="B24" s="49">
        <v>16</v>
      </c>
      <c r="C24" s="49"/>
      <c r="D24" s="48"/>
      <c r="E24" s="48"/>
      <c r="F24" s="48"/>
      <c r="G24" s="48"/>
      <c r="H24" s="48"/>
      <c r="I24" s="49"/>
      <c r="J24" s="14"/>
      <c r="K24" s="48"/>
      <c r="L24" s="49"/>
      <c r="M24" s="48"/>
    </row>
    <row r="25" spans="2:13" s="51" customFormat="1" ht="12">
      <c r="B25" s="49">
        <v>17</v>
      </c>
      <c r="C25" s="49"/>
      <c r="D25" s="48"/>
      <c r="E25" s="48"/>
      <c r="F25" s="48"/>
      <c r="G25" s="48"/>
      <c r="H25" s="48"/>
      <c r="I25" s="49"/>
      <c r="J25" s="14"/>
      <c r="K25" s="48"/>
      <c r="L25" s="49"/>
      <c r="M25" s="48"/>
    </row>
    <row r="26" spans="2:13" s="51" customFormat="1" ht="12">
      <c r="B26" s="49">
        <v>18</v>
      </c>
      <c r="C26" s="49"/>
      <c r="D26" s="48"/>
      <c r="E26" s="48"/>
      <c r="F26" s="48"/>
      <c r="G26" s="48"/>
      <c r="H26" s="48"/>
      <c r="I26" s="49"/>
      <c r="J26" s="14"/>
      <c r="K26" s="48"/>
      <c r="L26" s="49"/>
      <c r="M26" s="48"/>
    </row>
    <row r="27" spans="2:13" s="51" customFormat="1" ht="12">
      <c r="B27" s="49">
        <v>19</v>
      </c>
      <c r="C27" s="49"/>
      <c r="D27" s="48"/>
      <c r="E27" s="48"/>
      <c r="F27" s="48"/>
      <c r="G27" s="48"/>
      <c r="H27" s="48"/>
      <c r="I27" s="49"/>
      <c r="J27" s="14"/>
      <c r="K27" s="48"/>
      <c r="L27" s="49"/>
      <c r="M27" s="48"/>
    </row>
    <row r="28" spans="2:13" s="51" customFormat="1" ht="12">
      <c r="B28" s="49">
        <v>20</v>
      </c>
      <c r="C28" s="49"/>
      <c r="D28" s="48"/>
      <c r="E28" s="48"/>
      <c r="F28" s="48"/>
      <c r="G28" s="48"/>
      <c r="H28" s="48"/>
      <c r="I28" s="49"/>
      <c r="J28" s="14"/>
      <c r="K28" s="48"/>
      <c r="L28" s="49"/>
      <c r="M28" s="48"/>
    </row>
    <row r="29" spans="2:13" s="51" customFormat="1" ht="12">
      <c r="B29" s="49">
        <v>21</v>
      </c>
      <c r="C29" s="49"/>
      <c r="D29" s="48"/>
      <c r="E29" s="48"/>
      <c r="F29" s="48"/>
      <c r="G29" s="48"/>
      <c r="H29" s="48"/>
      <c r="I29" s="49"/>
      <c r="J29" s="14"/>
      <c r="K29" s="48"/>
      <c r="L29" s="49"/>
      <c r="M29" s="48"/>
    </row>
    <row r="30" spans="2:13" s="51" customFormat="1" ht="12">
      <c r="B30" s="49">
        <v>22</v>
      </c>
      <c r="C30" s="49"/>
      <c r="D30" s="48"/>
      <c r="E30" s="48"/>
      <c r="F30" s="48"/>
      <c r="G30" s="48"/>
      <c r="H30" s="48"/>
      <c r="I30" s="49"/>
      <c r="J30" s="14"/>
      <c r="K30" s="48"/>
      <c r="L30" s="49"/>
      <c r="M30" s="48"/>
    </row>
    <row r="31" spans="2:13" s="51" customFormat="1" ht="12">
      <c r="B31" s="49">
        <v>23</v>
      </c>
      <c r="C31" s="49"/>
      <c r="D31" s="48"/>
      <c r="E31" s="48"/>
      <c r="F31" s="48"/>
      <c r="G31" s="48"/>
      <c r="H31" s="48"/>
      <c r="I31" s="49"/>
      <c r="J31" s="14"/>
      <c r="K31" s="48"/>
      <c r="L31" s="49"/>
      <c r="M31" s="48"/>
    </row>
    <row r="32" spans="2:13" s="51" customFormat="1" ht="12">
      <c r="B32" s="49">
        <v>24</v>
      </c>
      <c r="C32" s="49"/>
      <c r="D32" s="48"/>
      <c r="E32" s="48"/>
      <c r="F32" s="48"/>
      <c r="G32" s="48"/>
      <c r="H32" s="48"/>
      <c r="I32" s="49"/>
      <c r="J32" s="14"/>
      <c r="K32" s="48"/>
      <c r="L32" s="49"/>
      <c r="M32" s="48"/>
    </row>
    <row r="33" spans="2:13" s="51" customFormat="1" ht="12">
      <c r="B33" s="49">
        <v>25</v>
      </c>
      <c r="C33" s="49"/>
      <c r="D33" s="48"/>
      <c r="E33" s="48"/>
      <c r="F33" s="48"/>
      <c r="G33" s="48"/>
      <c r="H33" s="48"/>
      <c r="I33" s="49"/>
      <c r="J33" s="14"/>
      <c r="K33" s="48"/>
      <c r="L33" s="49"/>
      <c r="M33" s="48"/>
    </row>
    <row r="34" spans="2:13" s="51" customFormat="1" ht="12">
      <c r="B34" s="49">
        <v>26</v>
      </c>
      <c r="C34" s="49"/>
      <c r="D34" s="48"/>
      <c r="E34" s="48"/>
      <c r="F34" s="48"/>
      <c r="G34" s="48"/>
      <c r="H34" s="48"/>
      <c r="I34" s="49"/>
      <c r="J34" s="14"/>
      <c r="K34" s="48"/>
      <c r="L34" s="49"/>
      <c r="M34" s="48"/>
    </row>
    <row r="35" spans="2:13" s="51" customFormat="1" ht="12">
      <c r="B35" s="49">
        <v>27</v>
      </c>
      <c r="C35" s="49"/>
      <c r="D35" s="48"/>
      <c r="E35" s="48"/>
      <c r="F35" s="48"/>
      <c r="G35" s="48"/>
      <c r="H35" s="48"/>
      <c r="I35" s="49"/>
      <c r="J35" s="14"/>
      <c r="K35" s="48"/>
      <c r="L35" s="49"/>
      <c r="M35" s="48"/>
    </row>
    <row r="36" spans="2:13" s="51" customFormat="1" ht="12">
      <c r="B36" s="49">
        <v>28</v>
      </c>
      <c r="C36" s="49"/>
      <c r="D36" s="48"/>
      <c r="E36" s="48"/>
      <c r="F36" s="48"/>
      <c r="G36" s="48"/>
      <c r="H36" s="48"/>
      <c r="I36" s="49"/>
      <c r="J36" s="14"/>
      <c r="K36" s="48"/>
      <c r="L36" s="49"/>
      <c r="M36" s="48"/>
    </row>
    <row r="37" spans="2:13" s="51" customFormat="1" ht="12">
      <c r="B37" s="49">
        <v>29</v>
      </c>
      <c r="C37" s="49"/>
      <c r="D37" s="48"/>
      <c r="E37" s="48"/>
      <c r="F37" s="48"/>
      <c r="G37" s="48"/>
      <c r="H37" s="48"/>
      <c r="I37" s="49"/>
      <c r="J37" s="14"/>
      <c r="K37" s="48"/>
      <c r="L37" s="49"/>
      <c r="M37" s="48"/>
    </row>
    <row r="38" spans="2:13" s="51" customFormat="1" ht="12">
      <c r="B38" s="49">
        <v>30</v>
      </c>
      <c r="C38" s="49"/>
      <c r="D38" s="48"/>
      <c r="E38" s="48"/>
      <c r="F38" s="48"/>
      <c r="G38" s="48"/>
      <c r="H38" s="48"/>
      <c r="I38" s="49"/>
      <c r="J38" s="14"/>
      <c r="K38" s="48"/>
      <c r="L38" s="49"/>
      <c r="M38" s="48"/>
    </row>
    <row r="39" spans="2:13" s="51" customFormat="1" ht="12">
      <c r="B39" s="49">
        <v>31</v>
      </c>
      <c r="C39" s="49"/>
      <c r="D39" s="48"/>
      <c r="E39" s="48"/>
      <c r="F39" s="48"/>
      <c r="G39" s="48"/>
      <c r="H39" s="48"/>
      <c r="I39" s="49"/>
      <c r="J39" s="14"/>
      <c r="K39" s="48"/>
      <c r="L39" s="49"/>
      <c r="M39" s="48"/>
    </row>
    <row r="40" spans="2:13" s="51" customFormat="1" ht="12">
      <c r="B40" s="49">
        <v>32</v>
      </c>
      <c r="C40" s="49"/>
      <c r="D40" s="48"/>
      <c r="E40" s="48"/>
      <c r="F40" s="48"/>
      <c r="G40" s="48"/>
      <c r="H40" s="48"/>
      <c r="I40" s="49"/>
      <c r="J40" s="14"/>
      <c r="K40" s="48"/>
      <c r="L40" s="49"/>
      <c r="M40" s="48"/>
    </row>
    <row r="41" spans="2:13" s="51" customFormat="1" ht="12">
      <c r="B41" s="49">
        <v>33</v>
      </c>
      <c r="C41" s="49"/>
      <c r="D41" s="48"/>
      <c r="E41" s="48"/>
      <c r="F41" s="48"/>
      <c r="G41" s="48"/>
      <c r="H41" s="48"/>
      <c r="I41" s="49"/>
      <c r="J41" s="14"/>
      <c r="K41" s="48"/>
      <c r="L41" s="49"/>
      <c r="M41" s="48"/>
    </row>
    <row r="42" spans="2:13" s="51" customFormat="1" ht="12">
      <c r="B42" s="49">
        <v>34</v>
      </c>
      <c r="C42" s="49"/>
      <c r="D42" s="48"/>
      <c r="E42" s="48"/>
      <c r="F42" s="48"/>
      <c r="G42" s="48"/>
      <c r="H42" s="48"/>
      <c r="I42" s="49"/>
      <c r="J42" s="14"/>
      <c r="K42" s="48"/>
      <c r="L42" s="52"/>
      <c r="M42" s="48"/>
    </row>
    <row r="43" spans="2:13" s="51" customFormat="1" ht="12">
      <c r="B43" s="49">
        <v>35</v>
      </c>
      <c r="C43" s="49"/>
      <c r="D43" s="48"/>
      <c r="E43" s="48"/>
      <c r="F43" s="48"/>
      <c r="G43" s="48"/>
      <c r="H43" s="48"/>
      <c r="I43" s="49"/>
      <c r="J43" s="14"/>
      <c r="K43" s="48"/>
      <c r="L43" s="49"/>
      <c r="M43" s="48"/>
    </row>
    <row r="44" spans="2:13" s="51" customFormat="1" ht="12">
      <c r="B44" s="49">
        <v>36</v>
      </c>
      <c r="C44" s="49"/>
      <c r="D44" s="48"/>
      <c r="E44" s="48"/>
      <c r="F44" s="48"/>
      <c r="G44" s="48"/>
      <c r="H44" s="48"/>
      <c r="I44" s="49"/>
      <c r="J44" s="14"/>
      <c r="K44" s="48"/>
      <c r="L44" s="49"/>
      <c r="M44" s="48"/>
    </row>
    <row r="45" spans="2:13" s="51" customFormat="1" ht="12">
      <c r="B45" s="49">
        <v>37</v>
      </c>
      <c r="C45" s="49"/>
      <c r="D45" s="48"/>
      <c r="E45" s="48"/>
      <c r="F45" s="48"/>
      <c r="G45" s="48"/>
      <c r="H45" s="48"/>
      <c r="I45" s="49"/>
      <c r="J45" s="49"/>
      <c r="K45" s="48"/>
      <c r="L45" s="49"/>
      <c r="M45" s="48"/>
    </row>
    <row r="46" spans="2:13" s="51" customFormat="1" ht="12">
      <c r="B46" s="49">
        <v>38</v>
      </c>
      <c r="C46" s="49"/>
      <c r="D46" s="48"/>
      <c r="E46" s="48"/>
      <c r="F46" s="48"/>
      <c r="G46" s="48"/>
      <c r="H46" s="48"/>
      <c r="I46" s="49"/>
      <c r="J46" s="14"/>
      <c r="K46" s="48"/>
      <c r="L46" s="49"/>
      <c r="M46" s="48"/>
    </row>
    <row r="47" spans="2:13" s="51" customFormat="1" ht="12">
      <c r="B47" s="49">
        <v>39</v>
      </c>
      <c r="C47" s="49"/>
      <c r="D47" s="48"/>
      <c r="E47" s="48"/>
      <c r="F47" s="48"/>
      <c r="G47" s="48"/>
      <c r="H47" s="48"/>
      <c r="I47" s="49"/>
      <c r="J47" s="14"/>
      <c r="K47" s="48"/>
      <c r="L47" s="49"/>
      <c r="M47" s="48"/>
    </row>
    <row r="48" spans="2:13" s="51" customFormat="1" ht="12">
      <c r="B48" s="49">
        <v>40</v>
      </c>
      <c r="C48" s="49"/>
      <c r="D48" s="48"/>
      <c r="E48" s="48"/>
      <c r="F48" s="48"/>
      <c r="G48" s="48"/>
      <c r="H48" s="48"/>
      <c r="I48" s="49"/>
      <c r="J48" s="14"/>
      <c r="K48" s="48"/>
      <c r="L48" s="49"/>
      <c r="M48" s="48"/>
    </row>
    <row r="49" spans="2:13" s="51" customFormat="1" ht="12">
      <c r="B49" s="49">
        <v>41</v>
      </c>
      <c r="C49" s="49"/>
      <c r="D49" s="48"/>
      <c r="E49" s="48"/>
      <c r="F49" s="48"/>
      <c r="G49" s="48"/>
      <c r="H49" s="48"/>
      <c r="I49" s="49"/>
      <c r="J49" s="14"/>
      <c r="K49" s="48"/>
      <c r="L49" s="49"/>
      <c r="M49" s="48"/>
    </row>
    <row r="50" spans="2:13" s="51" customFormat="1" ht="12">
      <c r="B50" s="49">
        <v>42</v>
      </c>
      <c r="C50" s="49"/>
      <c r="D50" s="48"/>
      <c r="E50" s="48"/>
      <c r="F50" s="48"/>
      <c r="G50" s="48"/>
      <c r="H50" s="48"/>
      <c r="I50" s="49"/>
      <c r="J50" s="14"/>
      <c r="K50" s="48"/>
      <c r="L50" s="49"/>
      <c r="M50" s="48"/>
    </row>
    <row r="51" spans="2:13" s="51" customFormat="1" ht="12">
      <c r="B51" s="49">
        <v>43</v>
      </c>
      <c r="C51" s="49"/>
      <c r="D51" s="48"/>
      <c r="E51" s="48"/>
      <c r="F51" s="48"/>
      <c r="G51" s="48"/>
      <c r="H51" s="48"/>
      <c r="I51" s="49"/>
      <c r="J51" s="14"/>
      <c r="K51" s="48"/>
      <c r="L51" s="49"/>
      <c r="M51" s="48"/>
    </row>
    <row r="52" spans="2:13" s="51" customFormat="1" ht="12">
      <c r="B52" s="49">
        <v>44</v>
      </c>
      <c r="C52" s="49"/>
      <c r="D52" s="48"/>
      <c r="E52" s="48"/>
      <c r="F52" s="48"/>
      <c r="G52" s="48"/>
      <c r="H52" s="48"/>
      <c r="I52" s="49"/>
      <c r="J52" s="14"/>
      <c r="K52" s="48"/>
      <c r="L52" s="49"/>
      <c r="M52" s="48"/>
    </row>
    <row r="53" spans="2:13" s="51" customFormat="1" ht="12">
      <c r="B53" s="49">
        <v>45</v>
      </c>
      <c r="C53" s="49"/>
      <c r="D53" s="48"/>
      <c r="E53" s="48"/>
      <c r="F53" s="48"/>
      <c r="G53" s="48"/>
      <c r="H53" s="48"/>
      <c r="I53" s="49"/>
      <c r="J53" s="14"/>
      <c r="K53" s="48"/>
      <c r="L53" s="49"/>
      <c r="M53" s="48"/>
    </row>
    <row r="54" spans="2:13" s="51" customFormat="1" ht="12">
      <c r="B54" s="49">
        <v>46</v>
      </c>
      <c r="C54" s="49"/>
      <c r="D54" s="48"/>
      <c r="E54" s="48"/>
      <c r="F54" s="48"/>
      <c r="G54" s="48"/>
      <c r="H54" s="48"/>
      <c r="I54" s="49"/>
      <c r="J54" s="14"/>
      <c r="K54" s="48"/>
      <c r="L54" s="49"/>
      <c r="M54" s="48"/>
    </row>
    <row r="55" spans="2:13" s="51" customFormat="1" ht="12">
      <c r="B55" s="49">
        <v>47</v>
      </c>
      <c r="C55" s="49"/>
      <c r="D55" s="48"/>
      <c r="E55" s="48"/>
      <c r="F55" s="48"/>
      <c r="G55" s="48"/>
      <c r="H55" s="48"/>
      <c r="I55" s="49"/>
      <c r="J55" s="14"/>
      <c r="K55" s="48"/>
      <c r="L55" s="49"/>
      <c r="M55" s="48"/>
    </row>
    <row r="56" spans="2:13" s="51" customFormat="1" ht="12">
      <c r="B56" s="49">
        <v>48</v>
      </c>
      <c r="C56" s="49"/>
      <c r="D56" s="48"/>
      <c r="E56" s="48"/>
      <c r="F56" s="48"/>
      <c r="G56" s="48"/>
      <c r="H56" s="48"/>
      <c r="I56" s="49"/>
      <c r="J56" s="14"/>
      <c r="K56" s="48"/>
      <c r="L56" s="49"/>
      <c r="M56" s="48"/>
    </row>
    <row r="57" spans="2:13" s="51" customFormat="1" ht="12">
      <c r="B57" s="49">
        <v>49</v>
      </c>
      <c r="C57" s="49"/>
      <c r="D57" s="48"/>
      <c r="E57" s="48"/>
      <c r="F57" s="48"/>
      <c r="G57" s="48"/>
      <c r="H57" s="48"/>
      <c r="I57" s="49"/>
      <c r="J57" s="14"/>
      <c r="K57" s="48"/>
      <c r="L57" s="49"/>
      <c r="M57" s="48"/>
    </row>
    <row r="58" spans="2:13" s="51" customFormat="1" ht="12">
      <c r="B58" s="49">
        <v>50</v>
      </c>
      <c r="C58" s="49"/>
      <c r="D58" s="48"/>
      <c r="E58" s="48"/>
      <c r="F58" s="48"/>
      <c r="G58" s="48"/>
      <c r="H58" s="48"/>
      <c r="I58" s="49"/>
      <c r="J58" s="14"/>
      <c r="K58" s="48"/>
      <c r="L58" s="49"/>
      <c r="M58" s="48"/>
    </row>
    <row r="59" spans="2:13" s="51" customFormat="1" ht="12">
      <c r="B59" s="49">
        <v>51</v>
      </c>
      <c r="C59" s="49"/>
      <c r="D59" s="48"/>
      <c r="E59" s="48"/>
      <c r="F59" s="48"/>
      <c r="G59" s="48"/>
      <c r="H59" s="48"/>
      <c r="I59" s="49"/>
      <c r="J59" s="14"/>
      <c r="K59" s="48"/>
      <c r="L59" s="49"/>
      <c r="M59" s="48"/>
    </row>
    <row r="60" spans="2:13" s="51" customFormat="1" ht="12">
      <c r="B60" s="49">
        <v>52</v>
      </c>
      <c r="C60" s="49"/>
      <c r="D60" s="48"/>
      <c r="E60" s="48"/>
      <c r="F60" s="48"/>
      <c r="G60" s="48"/>
      <c r="H60" s="48"/>
      <c r="I60" s="49"/>
      <c r="J60" s="14"/>
      <c r="K60" s="48"/>
      <c r="L60" s="49"/>
      <c r="M60" s="48"/>
    </row>
    <row r="61" spans="2:13" s="51" customFormat="1" ht="12">
      <c r="B61" s="49">
        <v>53</v>
      </c>
      <c r="C61" s="49"/>
      <c r="D61" s="48"/>
      <c r="E61" s="48"/>
      <c r="F61" s="48"/>
      <c r="G61" s="48"/>
      <c r="H61" s="48"/>
      <c r="I61" s="49"/>
      <c r="J61" s="14"/>
      <c r="K61" s="48"/>
      <c r="L61" s="49"/>
      <c r="M61" s="48"/>
    </row>
    <row r="62" spans="2:13" s="51" customFormat="1" ht="12">
      <c r="B62" s="49">
        <v>54</v>
      </c>
      <c r="C62" s="49"/>
      <c r="D62" s="48"/>
      <c r="E62" s="48"/>
      <c r="F62" s="48"/>
      <c r="G62" s="48"/>
      <c r="H62" s="48"/>
      <c r="I62" s="49"/>
      <c r="J62" s="14"/>
      <c r="K62" s="48"/>
      <c r="L62" s="49"/>
      <c r="M62" s="48"/>
    </row>
    <row r="63" spans="2:13" s="51" customFormat="1" ht="12">
      <c r="B63" s="49">
        <v>55</v>
      </c>
      <c r="C63" s="49"/>
      <c r="D63" s="48"/>
      <c r="E63" s="48"/>
      <c r="F63" s="48"/>
      <c r="G63" s="48"/>
      <c r="H63" s="48"/>
      <c r="I63" s="49"/>
      <c r="J63" s="14"/>
      <c r="K63" s="48"/>
      <c r="L63" s="49"/>
      <c r="M63" s="48"/>
    </row>
    <row r="64" spans="2:13" s="51" customFormat="1" ht="12">
      <c r="B64" s="49">
        <v>56</v>
      </c>
      <c r="C64" s="49"/>
      <c r="D64" s="48"/>
      <c r="E64" s="48"/>
      <c r="F64" s="48"/>
      <c r="G64" s="48"/>
      <c r="H64" s="48"/>
      <c r="I64" s="49"/>
      <c r="J64" s="14"/>
      <c r="K64" s="48"/>
      <c r="L64" s="49"/>
      <c r="M64" s="48"/>
    </row>
    <row r="65" spans="2:13" s="51" customFormat="1" ht="12">
      <c r="B65" s="49">
        <v>57</v>
      </c>
      <c r="C65" s="49"/>
      <c r="D65" s="48"/>
      <c r="E65" s="48"/>
      <c r="F65" s="48"/>
      <c r="G65" s="48"/>
      <c r="H65" s="48"/>
      <c r="I65" s="49"/>
      <c r="J65" s="14"/>
      <c r="K65" s="48"/>
      <c r="L65" s="49"/>
      <c r="M65" s="48"/>
    </row>
    <row r="66" spans="2:13" s="51" customFormat="1" ht="12">
      <c r="B66" s="49">
        <v>58</v>
      </c>
      <c r="C66" s="49"/>
      <c r="D66" s="48"/>
      <c r="E66" s="48"/>
      <c r="F66" s="48"/>
      <c r="G66" s="48"/>
      <c r="H66" s="48"/>
      <c r="I66" s="49"/>
      <c r="J66" s="14"/>
      <c r="K66" s="48"/>
      <c r="L66" s="49"/>
      <c r="M66" s="48"/>
    </row>
    <row r="67" spans="2:13" s="51" customFormat="1" ht="12">
      <c r="B67" s="49">
        <v>59</v>
      </c>
      <c r="C67" s="49"/>
      <c r="D67" s="48"/>
      <c r="E67" s="48"/>
      <c r="F67" s="48"/>
      <c r="G67" s="48"/>
      <c r="H67" s="48"/>
      <c r="I67" s="49"/>
      <c r="J67" s="14"/>
      <c r="K67" s="48"/>
      <c r="L67" s="49"/>
      <c r="M67" s="48"/>
    </row>
    <row r="68" spans="2:13" s="51" customFormat="1" ht="12">
      <c r="B68" s="49">
        <v>60</v>
      </c>
      <c r="C68" s="49"/>
      <c r="D68" s="48"/>
      <c r="E68" s="48"/>
      <c r="F68" s="48"/>
      <c r="G68" s="48"/>
      <c r="H68" s="48"/>
      <c r="I68" s="49"/>
      <c r="J68" s="14"/>
      <c r="K68" s="48"/>
      <c r="L68" s="49"/>
      <c r="M68" s="48"/>
    </row>
    <row r="69" spans="2:13" s="51" customFormat="1" ht="12">
      <c r="B69" s="49">
        <v>61</v>
      </c>
      <c r="C69" s="49"/>
      <c r="D69" s="48"/>
      <c r="E69" s="48"/>
      <c r="F69" s="48"/>
      <c r="G69" s="48"/>
      <c r="H69" s="48"/>
      <c r="I69" s="49"/>
      <c r="J69" s="14"/>
      <c r="K69" s="48"/>
      <c r="L69" s="49"/>
      <c r="M69" s="48"/>
    </row>
    <row r="70" spans="2:13" s="51" customFormat="1" ht="12">
      <c r="B70" s="49">
        <v>62</v>
      </c>
      <c r="C70" s="49"/>
      <c r="D70" s="48"/>
      <c r="E70" s="48"/>
      <c r="F70" s="48"/>
      <c r="G70" s="48"/>
      <c r="H70" s="48"/>
      <c r="I70" s="49"/>
      <c r="J70" s="14"/>
      <c r="K70" s="48"/>
      <c r="L70" s="49"/>
      <c r="M70" s="48"/>
    </row>
    <row r="71" spans="2:13" s="51" customFormat="1" ht="12">
      <c r="B71" s="49">
        <v>63</v>
      </c>
      <c r="C71" s="49"/>
      <c r="D71" s="48"/>
      <c r="E71" s="48"/>
      <c r="F71" s="48"/>
      <c r="G71" s="48"/>
      <c r="H71" s="48"/>
      <c r="I71" s="49"/>
      <c r="J71" s="14"/>
      <c r="K71" s="48"/>
      <c r="L71" s="49"/>
      <c r="M71" s="48"/>
    </row>
    <row r="72" spans="2:13" s="51" customFormat="1" ht="12">
      <c r="B72" s="49">
        <v>64</v>
      </c>
      <c r="C72" s="49"/>
      <c r="D72" s="48"/>
      <c r="E72" s="48"/>
      <c r="F72" s="48"/>
      <c r="G72" s="48"/>
      <c r="H72" s="48"/>
      <c r="I72" s="49"/>
      <c r="J72" s="14"/>
      <c r="K72" s="48"/>
      <c r="L72" s="49"/>
      <c r="M72" s="48"/>
    </row>
    <row r="73" spans="2:13" s="51" customFormat="1" ht="12">
      <c r="B73" s="49">
        <v>65</v>
      </c>
      <c r="C73" s="49"/>
      <c r="D73" s="48"/>
      <c r="E73" s="48"/>
      <c r="F73" s="48"/>
      <c r="G73" s="48"/>
      <c r="H73" s="48"/>
      <c r="I73" s="49"/>
      <c r="J73" s="14"/>
      <c r="K73" s="48"/>
      <c r="L73" s="49"/>
      <c r="M73" s="48"/>
    </row>
    <row r="74" spans="2:13" s="51" customFormat="1" ht="12">
      <c r="B74" s="49">
        <v>66</v>
      </c>
      <c r="C74" s="49"/>
      <c r="D74" s="48"/>
      <c r="E74" s="48"/>
      <c r="F74" s="48"/>
      <c r="G74" s="48"/>
      <c r="H74" s="48"/>
      <c r="I74" s="49"/>
      <c r="J74" s="14"/>
      <c r="K74" s="48"/>
      <c r="L74" s="49"/>
      <c r="M74" s="48"/>
    </row>
    <row r="75" spans="2:13" s="51" customFormat="1" ht="12">
      <c r="B75" s="49">
        <v>67</v>
      </c>
      <c r="C75" s="49"/>
      <c r="D75" s="48"/>
      <c r="E75" s="48"/>
      <c r="F75" s="48"/>
      <c r="G75" s="48"/>
      <c r="H75" s="48"/>
      <c r="I75" s="49"/>
      <c r="J75" s="14"/>
      <c r="K75" s="48"/>
      <c r="L75" s="49"/>
      <c r="M75" s="48"/>
    </row>
    <row r="76" spans="2:13" s="51" customFormat="1" ht="12">
      <c r="B76" s="49">
        <v>68</v>
      </c>
      <c r="C76" s="49"/>
      <c r="D76" s="48"/>
      <c r="E76" s="48"/>
      <c r="F76" s="48"/>
      <c r="G76" s="48"/>
      <c r="H76" s="48"/>
      <c r="I76" s="49"/>
      <c r="J76" s="13"/>
      <c r="K76" s="48"/>
      <c r="L76" s="49"/>
      <c r="M76" s="48"/>
    </row>
    <row r="77" spans="2:13" s="51" customFormat="1" ht="12">
      <c r="B77" s="49">
        <v>69</v>
      </c>
      <c r="C77" s="49"/>
      <c r="D77" s="48"/>
      <c r="E77" s="48"/>
      <c r="F77" s="48"/>
      <c r="G77" s="48"/>
      <c r="H77" s="48"/>
      <c r="I77" s="49"/>
      <c r="J77" s="13"/>
      <c r="K77" s="48"/>
      <c r="L77" s="49"/>
      <c r="M77" s="48"/>
    </row>
    <row r="78" spans="2:13" s="51" customFormat="1" ht="12">
      <c r="B78" s="49">
        <v>70</v>
      </c>
      <c r="C78" s="49"/>
      <c r="D78" s="48"/>
      <c r="E78" s="48"/>
      <c r="F78" s="48"/>
      <c r="G78" s="48"/>
      <c r="H78" s="48"/>
      <c r="I78" s="49"/>
      <c r="J78" s="13"/>
      <c r="K78" s="48"/>
      <c r="L78" s="49"/>
      <c r="M78" s="48"/>
    </row>
    <row r="79" spans="2:13" s="51" customFormat="1" ht="12">
      <c r="B79" s="49">
        <v>71</v>
      </c>
      <c r="C79" s="49"/>
      <c r="D79" s="48"/>
      <c r="E79" s="48"/>
      <c r="F79" s="48"/>
      <c r="G79" s="48"/>
      <c r="H79" s="48"/>
      <c r="I79" s="49"/>
      <c r="J79" s="13"/>
      <c r="K79" s="48"/>
      <c r="L79" s="49"/>
      <c r="M79" s="48"/>
    </row>
    <row r="80" spans="2:13" s="51" customFormat="1" ht="12">
      <c r="B80" s="49">
        <v>72</v>
      </c>
      <c r="C80" s="49"/>
      <c r="D80" s="48"/>
      <c r="E80" s="48"/>
      <c r="F80" s="48"/>
      <c r="G80" s="48"/>
      <c r="H80" s="48"/>
      <c r="I80" s="49"/>
      <c r="J80" s="13"/>
      <c r="K80" s="48"/>
      <c r="L80" s="49"/>
      <c r="M80" s="48"/>
    </row>
    <row r="81" spans="2:13" s="51" customFormat="1" ht="12">
      <c r="B81" s="49">
        <v>73</v>
      </c>
      <c r="C81" s="49"/>
      <c r="D81" s="48"/>
      <c r="E81" s="48"/>
      <c r="F81" s="48"/>
      <c r="G81" s="48"/>
      <c r="H81" s="48"/>
      <c r="I81" s="49"/>
      <c r="J81" s="13"/>
      <c r="K81" s="48"/>
      <c r="L81" s="49"/>
      <c r="M81" s="48"/>
    </row>
    <row r="82" spans="2:13" s="51" customFormat="1" ht="12">
      <c r="B82" s="49">
        <v>74</v>
      </c>
      <c r="C82" s="49"/>
      <c r="D82" s="48"/>
      <c r="E82" s="48"/>
      <c r="F82" s="48"/>
      <c r="G82" s="48"/>
      <c r="H82" s="48"/>
      <c r="I82" s="49"/>
      <c r="J82" s="13"/>
      <c r="K82" s="48"/>
      <c r="L82" s="49"/>
      <c r="M82" s="48"/>
    </row>
    <row r="83" spans="2:13" s="51" customFormat="1" ht="12">
      <c r="B83" s="49">
        <v>75</v>
      </c>
      <c r="C83" s="49"/>
      <c r="D83" s="48"/>
      <c r="E83" s="48"/>
      <c r="F83" s="48"/>
      <c r="G83" s="48"/>
      <c r="H83" s="48"/>
      <c r="I83" s="49"/>
      <c r="J83" s="13"/>
      <c r="K83" s="48"/>
      <c r="L83" s="49"/>
      <c r="M83" s="48"/>
    </row>
    <row r="84" spans="2:13" s="51" customFormat="1" ht="12">
      <c r="B84" s="49">
        <v>76</v>
      </c>
      <c r="C84" s="49"/>
      <c r="D84" s="48"/>
      <c r="E84" s="48"/>
      <c r="F84" s="48"/>
      <c r="G84" s="48"/>
      <c r="H84" s="48"/>
      <c r="I84" s="49"/>
      <c r="J84" s="13"/>
      <c r="K84" s="48"/>
      <c r="L84" s="49"/>
      <c r="M84" s="48"/>
    </row>
    <row r="85" spans="2:13" s="51" customFormat="1" ht="12">
      <c r="B85" s="49">
        <v>77</v>
      </c>
      <c r="C85" s="49"/>
      <c r="D85" s="48"/>
      <c r="E85" s="48"/>
      <c r="F85" s="48"/>
      <c r="G85" s="48"/>
      <c r="H85" s="48"/>
      <c r="I85" s="49"/>
      <c r="J85" s="13"/>
      <c r="K85" s="48"/>
      <c r="L85" s="49"/>
      <c r="M85" s="48"/>
    </row>
    <row r="86" spans="2:13" s="51" customFormat="1" ht="12">
      <c r="B86" s="49">
        <v>78</v>
      </c>
      <c r="C86" s="49"/>
      <c r="D86" s="48"/>
      <c r="E86" s="48"/>
      <c r="F86" s="48"/>
      <c r="G86" s="48"/>
      <c r="H86" s="48"/>
      <c r="I86" s="49"/>
      <c r="J86" s="13"/>
      <c r="K86" s="48"/>
      <c r="L86" s="49"/>
      <c r="M86" s="48"/>
    </row>
    <row r="87" spans="2:13" s="51" customFormat="1" ht="12">
      <c r="B87" s="49">
        <v>79</v>
      </c>
      <c r="C87" s="49"/>
      <c r="D87" s="48"/>
      <c r="E87" s="48"/>
      <c r="F87" s="48"/>
      <c r="G87" s="48"/>
      <c r="H87" s="48"/>
      <c r="I87" s="49"/>
      <c r="J87" s="13"/>
      <c r="K87" s="48"/>
      <c r="L87" s="49"/>
      <c r="M87" s="48"/>
    </row>
    <row r="88" spans="2:13" s="51" customFormat="1" ht="12">
      <c r="B88" s="49">
        <v>80</v>
      </c>
      <c r="C88" s="49"/>
      <c r="D88" s="48"/>
      <c r="E88" s="48"/>
      <c r="F88" s="48"/>
      <c r="G88" s="48"/>
      <c r="H88" s="48"/>
      <c r="I88" s="49"/>
      <c r="J88" s="13"/>
      <c r="K88" s="48"/>
      <c r="L88" s="49"/>
      <c r="M88" s="48"/>
    </row>
    <row r="89" spans="2:13" s="51" customFormat="1" ht="12">
      <c r="B89" s="49">
        <v>81</v>
      </c>
      <c r="C89" s="49"/>
      <c r="D89" s="48"/>
      <c r="E89" s="48"/>
      <c r="F89" s="48"/>
      <c r="G89" s="48"/>
      <c r="H89" s="48"/>
      <c r="I89" s="49"/>
      <c r="J89" s="13"/>
      <c r="K89" s="48"/>
      <c r="L89" s="49"/>
      <c r="M89" s="48"/>
    </row>
    <row r="90" spans="2:13" s="51" customFormat="1" ht="12">
      <c r="B90" s="49">
        <v>82</v>
      </c>
      <c r="C90" s="49"/>
      <c r="D90" s="48"/>
      <c r="E90" s="48"/>
      <c r="F90" s="48"/>
      <c r="G90" s="48"/>
      <c r="H90" s="48"/>
      <c r="I90" s="49"/>
      <c r="J90" s="13"/>
      <c r="K90" s="48"/>
      <c r="L90" s="49"/>
      <c r="M90" s="48"/>
    </row>
    <row r="91" spans="2:13" s="51" customFormat="1" ht="12">
      <c r="B91" s="49">
        <v>83</v>
      </c>
      <c r="C91" s="49"/>
      <c r="D91" s="48"/>
      <c r="E91" s="48"/>
      <c r="F91" s="48"/>
      <c r="G91" s="48"/>
      <c r="H91" s="48"/>
      <c r="I91" s="49"/>
      <c r="J91" s="13"/>
      <c r="K91" s="48"/>
      <c r="L91" s="49"/>
      <c r="M91" s="48"/>
    </row>
    <row r="92" spans="2:13" s="51" customFormat="1" ht="12">
      <c r="B92" s="49">
        <v>84</v>
      </c>
      <c r="C92" s="49"/>
      <c r="D92" s="48"/>
      <c r="E92" s="48"/>
      <c r="F92" s="48"/>
      <c r="G92" s="48"/>
      <c r="H92" s="48"/>
      <c r="I92" s="49"/>
      <c r="J92" s="13"/>
      <c r="K92" s="48"/>
      <c r="L92" s="49"/>
      <c r="M92" s="48"/>
    </row>
    <row r="93" spans="2:13" s="51" customFormat="1" ht="12">
      <c r="B93" s="49">
        <v>85</v>
      </c>
      <c r="C93" s="49"/>
      <c r="D93" s="48"/>
      <c r="E93" s="48"/>
      <c r="F93" s="48"/>
      <c r="G93" s="48"/>
      <c r="H93" s="48"/>
      <c r="I93" s="49"/>
      <c r="J93" s="13"/>
      <c r="K93" s="48"/>
      <c r="L93" s="49"/>
      <c r="M93" s="48"/>
    </row>
    <row r="94" spans="2:13" s="51" customFormat="1" ht="12">
      <c r="B94" s="49">
        <v>86</v>
      </c>
      <c r="C94" s="49"/>
      <c r="D94" s="48"/>
      <c r="E94" s="48"/>
      <c r="F94" s="48"/>
      <c r="G94" s="48"/>
      <c r="H94" s="48"/>
      <c r="I94" s="49"/>
      <c r="J94" s="13"/>
      <c r="K94" s="48"/>
      <c r="L94" s="49"/>
      <c r="M94" s="48"/>
    </row>
    <row r="95" spans="2:13" s="51" customFormat="1" ht="12">
      <c r="B95" s="49">
        <v>87</v>
      </c>
      <c r="C95" s="49"/>
      <c r="D95" s="48"/>
      <c r="E95" s="48"/>
      <c r="F95" s="48"/>
      <c r="G95" s="48"/>
      <c r="H95" s="48"/>
      <c r="I95" s="49"/>
      <c r="J95" s="13"/>
      <c r="K95" s="48"/>
      <c r="L95" s="49"/>
      <c r="M95" s="48"/>
    </row>
    <row r="96" spans="2:13" s="51" customFormat="1" ht="12">
      <c r="B96" s="49">
        <v>88</v>
      </c>
      <c r="C96" s="49"/>
      <c r="D96" s="48"/>
      <c r="E96" s="48"/>
      <c r="F96" s="48"/>
      <c r="G96" s="48"/>
      <c r="H96" s="48"/>
      <c r="I96" s="49"/>
      <c r="J96" s="13"/>
      <c r="K96" s="48"/>
      <c r="L96" s="49"/>
      <c r="M96" s="48"/>
    </row>
    <row r="97" spans="2:13" s="51" customFormat="1" ht="12">
      <c r="B97" s="49">
        <v>89</v>
      </c>
      <c r="C97" s="49"/>
      <c r="D97" s="48"/>
      <c r="E97" s="48"/>
      <c r="F97" s="48"/>
      <c r="G97" s="48"/>
      <c r="H97" s="48"/>
      <c r="I97" s="49"/>
      <c r="J97" s="13"/>
      <c r="K97" s="48"/>
      <c r="L97" s="49"/>
      <c r="M97" s="48"/>
    </row>
    <row r="98" spans="2:13" s="51" customFormat="1" ht="12">
      <c r="B98" s="49">
        <v>90</v>
      </c>
      <c r="C98" s="49"/>
      <c r="D98" s="48"/>
      <c r="E98" s="48"/>
      <c r="F98" s="48"/>
      <c r="G98" s="48"/>
      <c r="H98" s="48"/>
      <c r="I98" s="49"/>
      <c r="J98" s="13"/>
      <c r="K98" s="48"/>
      <c r="L98" s="49"/>
      <c r="M98" s="48"/>
    </row>
    <row r="99" spans="2:13" s="51" customFormat="1" ht="12">
      <c r="B99" s="49">
        <v>91</v>
      </c>
      <c r="C99" s="49"/>
      <c r="D99" s="48"/>
      <c r="E99" s="48"/>
      <c r="F99" s="48"/>
      <c r="G99" s="48"/>
      <c r="H99" s="48"/>
      <c r="I99" s="49"/>
      <c r="J99" s="13"/>
      <c r="K99" s="48"/>
      <c r="L99" s="49"/>
      <c r="M99" s="48"/>
    </row>
    <row r="100" spans="2:13" s="51" customFormat="1" ht="12">
      <c r="B100" s="49">
        <v>92</v>
      </c>
      <c r="C100" s="49"/>
      <c r="D100" s="48"/>
      <c r="E100" s="48"/>
      <c r="F100" s="48"/>
      <c r="G100" s="48"/>
      <c r="H100" s="48"/>
      <c r="I100" s="49"/>
      <c r="J100" s="13"/>
      <c r="K100" s="48"/>
      <c r="L100" s="49"/>
      <c r="M100" s="48"/>
    </row>
    <row r="101" spans="2:13" s="51" customFormat="1" ht="12">
      <c r="B101" s="49">
        <v>93</v>
      </c>
      <c r="C101" s="49"/>
      <c r="D101" s="48"/>
      <c r="E101" s="48"/>
      <c r="F101" s="48"/>
      <c r="G101" s="48"/>
      <c r="H101" s="48"/>
      <c r="I101" s="49"/>
      <c r="J101" s="13"/>
      <c r="K101" s="48"/>
      <c r="L101" s="49"/>
      <c r="M101" s="48"/>
    </row>
    <row r="102" spans="2:13" s="51" customFormat="1" ht="12">
      <c r="B102" s="49">
        <v>94</v>
      </c>
      <c r="C102" s="49"/>
      <c r="D102" s="48"/>
      <c r="E102" s="48"/>
      <c r="F102" s="48"/>
      <c r="G102" s="48"/>
      <c r="H102" s="48"/>
      <c r="I102" s="49"/>
      <c r="J102" s="13"/>
      <c r="K102" s="48"/>
      <c r="L102" s="49"/>
      <c r="M102" s="48"/>
    </row>
    <row r="103" spans="2:13" s="51" customFormat="1" ht="12">
      <c r="B103" s="49">
        <v>95</v>
      </c>
      <c r="C103" s="49"/>
      <c r="D103" s="48"/>
      <c r="E103" s="48"/>
      <c r="F103" s="48"/>
      <c r="G103" s="48"/>
      <c r="H103" s="48"/>
      <c r="I103" s="49"/>
      <c r="J103" s="13"/>
      <c r="K103" s="48"/>
      <c r="L103" s="49"/>
      <c r="M103" s="48"/>
    </row>
    <row r="104" spans="2:13" s="51" customFormat="1" ht="12">
      <c r="B104" s="49">
        <v>96</v>
      </c>
      <c r="C104" s="49"/>
      <c r="D104" s="48"/>
      <c r="E104" s="48"/>
      <c r="F104" s="48"/>
      <c r="G104" s="48"/>
      <c r="H104" s="48"/>
      <c r="I104" s="49"/>
      <c r="J104" s="13"/>
      <c r="K104" s="48"/>
      <c r="L104" s="49"/>
      <c r="M104" s="48"/>
    </row>
    <row r="105" spans="2:13" s="51" customFormat="1" ht="12">
      <c r="B105" s="49">
        <v>97</v>
      </c>
      <c r="C105" s="49"/>
      <c r="D105" s="48"/>
      <c r="E105" s="48"/>
      <c r="F105" s="48"/>
      <c r="G105" s="48"/>
      <c r="H105" s="48"/>
      <c r="I105" s="49"/>
      <c r="J105" s="13"/>
      <c r="K105" s="48"/>
      <c r="L105" s="49"/>
      <c r="M105" s="48"/>
    </row>
    <row r="106" spans="2:13" s="51" customFormat="1" ht="12">
      <c r="B106" s="49">
        <v>98</v>
      </c>
      <c r="C106" s="49"/>
      <c r="D106" s="48"/>
      <c r="E106" s="48"/>
      <c r="F106" s="48"/>
      <c r="G106" s="48"/>
      <c r="H106" s="48"/>
      <c r="I106" s="49"/>
      <c r="J106" s="13"/>
      <c r="K106" s="48"/>
      <c r="L106" s="49"/>
      <c r="M106" s="48"/>
    </row>
    <row r="107" spans="2:13" s="51" customFormat="1" ht="12">
      <c r="B107" s="49">
        <v>99</v>
      </c>
      <c r="C107" s="49"/>
      <c r="D107" s="48"/>
      <c r="E107" s="48"/>
      <c r="F107" s="48"/>
      <c r="G107" s="48"/>
      <c r="H107" s="48"/>
      <c r="I107" s="49"/>
      <c r="J107" s="13"/>
      <c r="K107" s="48"/>
      <c r="L107" s="49"/>
      <c r="M107" s="48"/>
    </row>
    <row r="108" spans="2:13" s="51" customFormat="1" ht="12">
      <c r="B108" s="49">
        <v>100</v>
      </c>
      <c r="C108" s="49"/>
      <c r="D108" s="48"/>
      <c r="E108" s="48"/>
      <c r="F108" s="48"/>
      <c r="G108" s="48"/>
      <c r="H108" s="48"/>
      <c r="I108" s="49"/>
      <c r="J108" s="49"/>
      <c r="K108" s="48"/>
      <c r="L108" s="49"/>
      <c r="M108" s="48"/>
    </row>
    <row r="109" spans="2:13" s="51" customFormat="1" ht="12">
      <c r="B109" s="49">
        <v>101</v>
      </c>
      <c r="C109" s="49"/>
      <c r="D109" s="48"/>
      <c r="E109" s="48"/>
      <c r="F109" s="48"/>
      <c r="G109" s="48"/>
      <c r="H109" s="48"/>
      <c r="I109" s="49"/>
      <c r="J109" s="49"/>
      <c r="K109" s="48"/>
      <c r="L109" s="49"/>
      <c r="M109" s="48"/>
    </row>
    <row r="110" spans="2:13" s="51" customFormat="1" ht="12">
      <c r="B110" s="49">
        <v>102</v>
      </c>
      <c r="C110" s="49"/>
      <c r="D110" s="48"/>
      <c r="E110" s="48"/>
      <c r="F110" s="48"/>
      <c r="G110" s="48"/>
      <c r="H110" s="48"/>
      <c r="I110" s="49"/>
      <c r="J110" s="49"/>
      <c r="K110" s="48"/>
      <c r="L110" s="49"/>
      <c r="M110" s="48"/>
    </row>
    <row r="111" spans="2:13" s="51" customFormat="1" ht="12">
      <c r="B111" s="49">
        <v>103</v>
      </c>
      <c r="C111" s="49"/>
      <c r="D111" s="48"/>
      <c r="E111" s="48"/>
      <c r="F111" s="48"/>
      <c r="G111" s="48"/>
      <c r="H111" s="48"/>
      <c r="I111" s="49"/>
      <c r="J111" s="49"/>
      <c r="K111" s="48"/>
      <c r="L111" s="49"/>
      <c r="M111" s="48"/>
    </row>
    <row r="112" spans="2:13" s="51" customFormat="1" ht="12">
      <c r="B112" s="49">
        <v>104</v>
      </c>
      <c r="C112" s="49"/>
      <c r="D112" s="48"/>
      <c r="E112" s="48"/>
      <c r="F112" s="48"/>
      <c r="G112" s="48"/>
      <c r="H112" s="48"/>
      <c r="I112" s="49"/>
      <c r="J112" s="49"/>
      <c r="K112" s="48"/>
      <c r="L112" s="49"/>
      <c r="M112" s="48"/>
    </row>
    <row r="113" spans="2:13" s="51" customFormat="1" ht="12">
      <c r="B113" s="49">
        <v>105</v>
      </c>
      <c r="C113" s="49"/>
      <c r="D113" s="48"/>
      <c r="E113" s="48"/>
      <c r="F113" s="48"/>
      <c r="G113" s="48"/>
      <c r="H113" s="48"/>
      <c r="I113" s="49"/>
      <c r="J113" s="49"/>
      <c r="K113" s="48"/>
      <c r="L113" s="49"/>
      <c r="M113" s="48"/>
    </row>
    <row r="114" spans="2:13" s="51" customFormat="1" ht="12">
      <c r="B114" s="49">
        <v>106</v>
      </c>
      <c r="C114" s="49"/>
      <c r="D114" s="48"/>
      <c r="E114" s="48"/>
      <c r="F114" s="48"/>
      <c r="G114" s="48"/>
      <c r="H114" s="48"/>
      <c r="I114" s="49"/>
      <c r="J114" s="49"/>
      <c r="K114" s="48"/>
      <c r="L114" s="49"/>
      <c r="M114" s="48"/>
    </row>
    <row r="115" spans="2:13" s="51" customFormat="1" ht="12">
      <c r="B115" s="49">
        <v>107</v>
      </c>
      <c r="C115" s="49"/>
      <c r="D115" s="48"/>
      <c r="E115" s="48"/>
      <c r="F115" s="48"/>
      <c r="G115" s="48"/>
      <c r="H115" s="48"/>
      <c r="I115" s="49"/>
      <c r="J115" s="49"/>
      <c r="K115" s="48"/>
      <c r="L115" s="49"/>
      <c r="M115" s="48"/>
    </row>
    <row r="116" spans="2:13" s="51" customFormat="1" ht="12">
      <c r="B116" s="49">
        <v>108</v>
      </c>
      <c r="C116" s="49"/>
      <c r="D116" s="48"/>
      <c r="E116" s="48"/>
      <c r="F116" s="48"/>
      <c r="G116" s="48"/>
      <c r="H116" s="48"/>
      <c r="I116" s="49"/>
      <c r="J116" s="49"/>
      <c r="K116" s="48"/>
      <c r="L116" s="49"/>
      <c r="M116" s="48"/>
    </row>
    <row r="117" spans="2:13" s="51" customFormat="1" ht="12">
      <c r="B117" s="49">
        <v>109</v>
      </c>
      <c r="C117" s="49"/>
      <c r="D117" s="48"/>
      <c r="E117" s="48"/>
      <c r="F117" s="48"/>
      <c r="G117" s="48"/>
      <c r="H117" s="48"/>
      <c r="I117" s="49"/>
      <c r="J117" s="49"/>
      <c r="K117" s="48"/>
      <c r="L117" s="49"/>
      <c r="M117" s="48"/>
    </row>
    <row r="118" spans="2:13" s="51" customFormat="1" ht="12">
      <c r="B118" s="49">
        <v>110</v>
      </c>
      <c r="C118" s="49"/>
      <c r="D118" s="48"/>
      <c r="E118" s="48"/>
      <c r="F118" s="48"/>
      <c r="G118" s="48"/>
      <c r="H118" s="48"/>
      <c r="I118" s="49"/>
      <c r="J118" s="49"/>
      <c r="K118" s="48"/>
      <c r="L118" s="49"/>
      <c r="M118" s="48"/>
    </row>
    <row r="119" spans="2:13" s="51" customFormat="1" ht="12">
      <c r="B119" s="49">
        <v>111</v>
      </c>
      <c r="C119" s="49"/>
      <c r="D119" s="48"/>
      <c r="E119" s="48"/>
      <c r="F119" s="48"/>
      <c r="G119" s="48"/>
      <c r="H119" s="48"/>
      <c r="I119" s="49"/>
      <c r="J119" s="49"/>
      <c r="K119" s="48"/>
      <c r="L119" s="49"/>
      <c r="M119" s="48"/>
    </row>
    <row r="120" spans="2:13" s="51" customFormat="1" ht="12">
      <c r="B120" s="49">
        <v>112</v>
      </c>
      <c r="C120" s="49"/>
      <c r="D120" s="48"/>
      <c r="E120" s="48"/>
      <c r="F120" s="48"/>
      <c r="G120" s="48"/>
      <c r="H120" s="48"/>
      <c r="I120" s="49"/>
      <c r="J120" s="49"/>
      <c r="K120" s="48"/>
      <c r="L120" s="49"/>
      <c r="M120" s="48"/>
    </row>
    <row r="121" spans="2:13" s="51" customFormat="1" ht="12">
      <c r="B121" s="49">
        <v>113</v>
      </c>
      <c r="C121" s="49"/>
      <c r="D121" s="48"/>
      <c r="E121" s="48"/>
      <c r="F121" s="48"/>
      <c r="G121" s="48"/>
      <c r="H121" s="48"/>
      <c r="I121" s="49"/>
      <c r="J121" s="49"/>
      <c r="K121" s="48"/>
      <c r="L121" s="49"/>
      <c r="M121" s="48"/>
    </row>
    <row r="122" spans="2:13" s="51" customFormat="1" ht="12">
      <c r="B122" s="49">
        <v>114</v>
      </c>
      <c r="C122" s="49"/>
      <c r="D122" s="48"/>
      <c r="E122" s="48"/>
      <c r="F122" s="48"/>
      <c r="G122" s="48"/>
      <c r="H122" s="48"/>
      <c r="I122" s="49"/>
      <c r="J122" s="49"/>
      <c r="K122" s="48"/>
      <c r="L122" s="49"/>
      <c r="M122" s="48"/>
    </row>
    <row r="123" spans="2:13" s="51" customFormat="1" ht="12">
      <c r="B123" s="49">
        <v>115</v>
      </c>
      <c r="C123" s="49"/>
      <c r="D123" s="48"/>
      <c r="E123" s="48"/>
      <c r="F123" s="48"/>
      <c r="G123" s="48"/>
      <c r="H123" s="48"/>
      <c r="I123" s="49"/>
      <c r="J123" s="49"/>
      <c r="K123" s="48"/>
      <c r="L123" s="49"/>
      <c r="M123" s="48"/>
    </row>
    <row r="124" spans="2:13" s="51" customFormat="1" ht="12">
      <c r="B124" s="49">
        <v>116</v>
      </c>
      <c r="C124" s="49"/>
      <c r="D124" s="48"/>
      <c r="E124" s="48"/>
      <c r="F124" s="48"/>
      <c r="G124" s="48"/>
      <c r="H124" s="48"/>
      <c r="I124" s="49"/>
      <c r="J124" s="49"/>
      <c r="K124" s="48"/>
      <c r="L124" s="49"/>
      <c r="M124" s="48"/>
    </row>
    <row r="125" spans="2:13" s="51" customFormat="1" ht="12">
      <c r="B125" s="49">
        <v>117</v>
      </c>
      <c r="C125" s="49"/>
      <c r="D125" s="48"/>
      <c r="E125" s="48"/>
      <c r="F125" s="48"/>
      <c r="G125" s="48"/>
      <c r="H125" s="48"/>
      <c r="I125" s="49"/>
      <c r="J125" s="49"/>
      <c r="K125" s="48"/>
      <c r="L125" s="49"/>
      <c r="M125" s="48"/>
    </row>
    <row r="126" spans="2:13" s="51" customFormat="1" ht="12">
      <c r="B126" s="49">
        <v>118</v>
      </c>
      <c r="C126" s="49"/>
      <c r="D126" s="48"/>
      <c r="E126" s="48"/>
      <c r="F126" s="48"/>
      <c r="G126" s="48"/>
      <c r="H126" s="48"/>
      <c r="I126" s="49"/>
      <c r="J126" s="49"/>
      <c r="K126" s="48"/>
      <c r="L126" s="49"/>
      <c r="M126" s="48"/>
    </row>
    <row r="127" spans="2:13" s="51" customFormat="1" ht="12">
      <c r="B127" s="49">
        <v>119</v>
      </c>
      <c r="C127" s="49"/>
      <c r="D127" s="48"/>
      <c r="E127" s="48"/>
      <c r="F127" s="48"/>
      <c r="G127" s="48"/>
      <c r="H127" s="48"/>
      <c r="I127" s="49"/>
      <c r="J127" s="49"/>
      <c r="K127" s="48"/>
      <c r="L127" s="49"/>
      <c r="M127" s="48"/>
    </row>
    <row r="128" spans="2:13" s="51" customFormat="1" ht="12">
      <c r="B128" s="49">
        <v>120</v>
      </c>
      <c r="C128" s="49"/>
      <c r="D128" s="48"/>
      <c r="E128" s="48"/>
      <c r="F128" s="48"/>
      <c r="G128" s="48"/>
      <c r="H128" s="48"/>
      <c r="I128" s="49"/>
      <c r="J128" s="49"/>
      <c r="K128" s="48"/>
      <c r="L128" s="49"/>
      <c r="M128" s="48"/>
    </row>
    <row r="129" spans="2:13" s="51" customFormat="1" ht="12">
      <c r="B129" s="49">
        <v>121</v>
      </c>
      <c r="C129" s="49"/>
      <c r="D129" s="48"/>
      <c r="E129" s="48"/>
      <c r="F129" s="48"/>
      <c r="G129" s="48"/>
      <c r="H129" s="48"/>
      <c r="I129" s="49"/>
      <c r="J129" s="49"/>
      <c r="K129" s="48"/>
      <c r="L129" s="49"/>
      <c r="M129" s="48"/>
    </row>
    <row r="130" spans="2:13" s="51" customFormat="1" ht="12">
      <c r="B130" s="49">
        <v>122</v>
      </c>
      <c r="C130" s="49"/>
      <c r="D130" s="48"/>
      <c r="E130" s="48"/>
      <c r="F130" s="48"/>
      <c r="G130" s="48"/>
      <c r="H130" s="48"/>
      <c r="I130" s="49"/>
      <c r="J130" s="49"/>
      <c r="K130" s="48"/>
      <c r="L130" s="49"/>
      <c r="M130" s="48"/>
    </row>
    <row r="131" spans="2:13" s="51" customFormat="1" ht="12">
      <c r="B131" s="49">
        <v>123</v>
      </c>
      <c r="C131" s="49"/>
      <c r="D131" s="48"/>
      <c r="E131" s="48"/>
      <c r="F131" s="48"/>
      <c r="G131" s="48"/>
      <c r="H131" s="48"/>
      <c r="I131" s="49"/>
      <c r="J131" s="49"/>
      <c r="K131" s="48"/>
      <c r="L131" s="49"/>
      <c r="M131" s="48"/>
    </row>
    <row r="132" spans="2:13" s="51" customFormat="1" ht="12">
      <c r="B132" s="49">
        <v>124</v>
      </c>
      <c r="C132" s="49"/>
      <c r="D132" s="48"/>
      <c r="E132" s="48"/>
      <c r="F132" s="48"/>
      <c r="G132" s="48"/>
      <c r="H132" s="48"/>
      <c r="I132" s="49"/>
      <c r="J132" s="49"/>
      <c r="K132" s="48"/>
      <c r="L132" s="49"/>
      <c r="M132" s="48"/>
    </row>
    <row r="133" spans="2:13" s="51" customFormat="1" ht="12">
      <c r="B133" s="49">
        <v>125</v>
      </c>
      <c r="C133" s="49"/>
      <c r="D133" s="48"/>
      <c r="E133" s="48"/>
      <c r="F133" s="48"/>
      <c r="G133" s="48"/>
      <c r="H133" s="48"/>
      <c r="I133" s="49"/>
      <c r="J133" s="49"/>
      <c r="K133" s="48"/>
      <c r="L133" s="49"/>
      <c r="M133" s="48"/>
    </row>
    <row r="134" spans="2:13" s="51" customFormat="1" ht="12">
      <c r="B134" s="49">
        <v>126</v>
      </c>
      <c r="C134" s="49"/>
      <c r="D134" s="48"/>
      <c r="E134" s="48"/>
      <c r="F134" s="48"/>
      <c r="G134" s="48"/>
      <c r="H134" s="48"/>
      <c r="I134" s="49"/>
      <c r="J134" s="49"/>
      <c r="K134" s="48"/>
      <c r="L134" s="49"/>
      <c r="M134" s="48"/>
    </row>
    <row r="135" spans="2:13" s="51" customFormat="1" ht="12">
      <c r="B135" s="49">
        <v>127</v>
      </c>
      <c r="C135" s="49"/>
      <c r="D135" s="48"/>
      <c r="E135" s="48"/>
      <c r="F135" s="48"/>
      <c r="G135" s="48"/>
      <c r="H135" s="48"/>
      <c r="I135" s="49"/>
      <c r="J135" s="49"/>
      <c r="K135" s="48"/>
      <c r="L135" s="49"/>
      <c r="M135" s="48"/>
    </row>
    <row r="136" spans="2:13" s="51" customFormat="1" ht="12">
      <c r="B136" s="49">
        <v>128</v>
      </c>
      <c r="C136" s="49"/>
      <c r="D136" s="48"/>
      <c r="E136" s="48"/>
      <c r="F136" s="48"/>
      <c r="G136" s="48"/>
      <c r="H136" s="48"/>
      <c r="I136" s="49"/>
      <c r="J136" s="49"/>
      <c r="K136" s="48"/>
      <c r="L136" s="49"/>
      <c r="M136" s="48"/>
    </row>
    <row r="137" spans="2:13" s="51" customFormat="1" ht="12">
      <c r="B137" s="49">
        <v>129</v>
      </c>
      <c r="C137" s="49"/>
      <c r="D137" s="48"/>
      <c r="E137" s="48"/>
      <c r="F137" s="48"/>
      <c r="G137" s="48"/>
      <c r="H137" s="48"/>
      <c r="I137" s="49"/>
      <c r="J137" s="49"/>
      <c r="K137" s="48"/>
      <c r="L137" s="49"/>
      <c r="M137" s="48"/>
    </row>
  </sheetData>
  <mergeCells count="1">
    <mergeCell ref="B6:M6"/>
  </mergeCells>
  <conditionalFormatting sqref="C9">
    <cfRule type="duplicateValues" dxfId="72" priority="13"/>
    <cfRule type="duplicateValues" dxfId="71" priority="14"/>
  </conditionalFormatting>
  <conditionalFormatting sqref="C12">
    <cfRule type="duplicateValues" dxfId="70" priority="11"/>
    <cfRule type="duplicateValues" dxfId="69" priority="12"/>
  </conditionalFormatting>
  <conditionalFormatting sqref="C14">
    <cfRule type="duplicateValues" dxfId="68" priority="9"/>
    <cfRule type="duplicateValues" dxfId="67" priority="10"/>
  </conditionalFormatting>
  <conditionalFormatting sqref="C15">
    <cfRule type="duplicateValues" dxfId="66" priority="7"/>
    <cfRule type="duplicateValues" dxfId="65" priority="8"/>
  </conditionalFormatting>
  <conditionalFormatting sqref="C16">
    <cfRule type="duplicateValues" dxfId="64" priority="5"/>
    <cfRule type="duplicateValues" dxfId="63" priority="6"/>
  </conditionalFormatting>
  <conditionalFormatting sqref="C19">
    <cfRule type="duplicateValues" dxfId="62" priority="3"/>
    <cfRule type="duplicateValues" dxfId="61" priority="4"/>
  </conditionalFormatting>
  <conditionalFormatting sqref="C20">
    <cfRule type="duplicateValues" dxfId="60" priority="1"/>
    <cfRule type="duplicateValues" dxfId="59" priority="2"/>
  </conditionalFormatting>
  <hyperlinks>
    <hyperlink ref="K9" r:id="rId1" xr:uid="{D52AE574-988A-4CD1-8D89-3FE4AC319942}"/>
    <hyperlink ref="K10" r:id="rId2" xr:uid="{856941BA-1562-4914-A8EF-891F1E47DB59}"/>
    <hyperlink ref="K11" r:id="rId3" xr:uid="{89C4476C-17D0-43F8-AF36-B504D24A31B4}"/>
    <hyperlink ref="K12" r:id="rId4" xr:uid="{90E5B1E9-10A3-4CC2-8DE3-88688A38B84E}"/>
    <hyperlink ref="K13" r:id="rId5" xr:uid="{586586BE-054B-43C1-A48C-98AFB144328E}"/>
    <hyperlink ref="K14" r:id="rId6" xr:uid="{6A3C1B9A-6D7B-4124-B056-0F5D8FB8B923}"/>
    <hyperlink ref="K15" r:id="rId7" xr:uid="{46B2D455-ABBC-4548-BFEE-DEA6351590AC}"/>
    <hyperlink ref="K16" r:id="rId8" xr:uid="{7C714244-1EBF-4277-B0C1-2713FC7E23E9}"/>
    <hyperlink ref="K17" r:id="rId9" display="mailto:raul.aguado@autonomadeica.edu.pe" xr:uid="{F5FB3128-70B7-4A34-B8F4-47DB69FDD725}"/>
    <hyperlink ref="K18" r:id="rId10" xr:uid="{D9A85B53-073B-4603-96B7-BFCD69B51CF3}"/>
    <hyperlink ref="K19" r:id="rId11" xr:uid="{52328BE6-1D0A-411E-8779-9B4A70D098B8}"/>
    <hyperlink ref="K20" r:id="rId12" xr:uid="{CA3FB20F-3AE0-4F43-BE26-CAFB0D7C9CF0}"/>
  </hyperlinks>
  <pageMargins left="0.7" right="0.7" top="0.75" bottom="0.75" header="0.3" footer="0.3"/>
  <drawing r:id="rId13"/>
  <legacy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0F7C-E615-4BBB-9C49-AB02274CBBA7}">
  <sheetPr>
    <tabColor rgb="FF00B050"/>
  </sheetPr>
  <dimension ref="B1:O61"/>
  <sheetViews>
    <sheetView workbookViewId="0">
      <selection activeCell="D22" sqref="D22"/>
    </sheetView>
  </sheetViews>
  <sheetFormatPr defaultColWidth="9.140625" defaultRowHeight="15"/>
  <cols>
    <col min="1" max="1" width="2.85546875" customWidth="1"/>
    <col min="2" max="2" width="4.140625" bestFit="1" customWidth="1"/>
    <col min="3" max="3" width="10.5703125" style="1" customWidth="1"/>
    <col min="4" max="4" width="43.7109375" bestFit="1" customWidth="1"/>
    <col min="5" max="8" width="0" hidden="1" customWidth="1"/>
    <col min="9" max="9" width="14.5703125" style="1" bestFit="1" customWidth="1"/>
    <col min="10" max="10" width="29.140625" style="1" bestFit="1" customWidth="1"/>
    <col min="11" max="12" width="15.5703125" style="1" customWidth="1"/>
    <col min="13" max="13" width="36.42578125" hidden="1" customWidth="1"/>
    <col min="14" max="14" width="17.85546875" style="1" customWidth="1"/>
    <col min="15" max="15" width="34.140625" bestFit="1" customWidth="1"/>
  </cols>
  <sheetData>
    <row r="1" spans="2:15">
      <c r="O1" s="1"/>
    </row>
    <row r="2" spans="2:15">
      <c r="O2" s="1"/>
    </row>
    <row r="3" spans="2:15">
      <c r="O3" s="1"/>
    </row>
    <row r="4" spans="2:15">
      <c r="O4" s="1"/>
    </row>
    <row r="5" spans="2:15">
      <c r="O5" s="1"/>
    </row>
    <row r="6" spans="2:15" ht="46.9" customHeight="1">
      <c r="B6" s="112" t="s">
        <v>712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</row>
    <row r="7" spans="2:15">
      <c r="O7" s="1"/>
    </row>
    <row r="8" spans="2:15" s="11" customFormat="1" ht="34.1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5</v>
      </c>
      <c r="K8" s="9" t="s">
        <v>6</v>
      </c>
      <c r="L8" s="9" t="s">
        <v>7</v>
      </c>
      <c r="M8" s="9" t="s">
        <v>13</v>
      </c>
      <c r="N8" s="9" t="s">
        <v>14</v>
      </c>
      <c r="O8" s="9" t="s">
        <v>15</v>
      </c>
    </row>
    <row r="9" spans="2:15" s="87" customFormat="1" ht="12">
      <c r="B9" s="82">
        <v>1</v>
      </c>
      <c r="C9" s="82">
        <v>72176698</v>
      </c>
      <c r="D9" s="83" t="s">
        <v>713</v>
      </c>
      <c r="E9" s="83"/>
      <c r="F9" s="83"/>
      <c r="G9" s="83"/>
      <c r="H9" s="83"/>
      <c r="I9" s="82">
        <v>6</v>
      </c>
      <c r="J9" s="95" t="s">
        <v>683</v>
      </c>
      <c r="K9" s="95" t="s">
        <v>68</v>
      </c>
      <c r="L9" s="95" t="s">
        <v>20</v>
      </c>
      <c r="M9" s="83" t="s">
        <v>675</v>
      </c>
      <c r="N9" s="62">
        <v>956383530</v>
      </c>
      <c r="O9" s="83" t="s">
        <v>714</v>
      </c>
    </row>
    <row r="10" spans="2:15" s="87" customFormat="1" ht="12">
      <c r="B10" s="82">
        <v>2</v>
      </c>
      <c r="C10" s="62">
        <v>41807593</v>
      </c>
      <c r="D10" s="63" t="s">
        <v>715</v>
      </c>
      <c r="E10" s="83"/>
      <c r="F10" s="83"/>
      <c r="G10" s="83"/>
      <c r="H10" s="83"/>
      <c r="I10" s="82">
        <v>12</v>
      </c>
      <c r="J10" s="95" t="s">
        <v>679</v>
      </c>
      <c r="K10" s="95" t="s">
        <v>68</v>
      </c>
      <c r="L10" s="95" t="s">
        <v>32</v>
      </c>
      <c r="M10" s="83" t="s">
        <v>675</v>
      </c>
      <c r="N10" s="62">
        <v>940392058</v>
      </c>
      <c r="O10" s="83" t="s">
        <v>675</v>
      </c>
    </row>
    <row r="11" spans="2:15" s="87" customFormat="1" ht="12">
      <c r="B11" s="82">
        <v>3</v>
      </c>
      <c r="C11" s="82">
        <v>75168136</v>
      </c>
      <c r="D11" s="83" t="s">
        <v>716</v>
      </c>
      <c r="E11" s="83"/>
      <c r="F11" s="83"/>
      <c r="G11" s="83"/>
      <c r="H11" s="83"/>
      <c r="I11" s="82">
        <v>6</v>
      </c>
      <c r="J11" s="95" t="s">
        <v>673</v>
      </c>
      <c r="K11" s="95" t="s">
        <v>68</v>
      </c>
      <c r="L11" s="95" t="s">
        <v>32</v>
      </c>
      <c r="M11" s="83" t="s">
        <v>675</v>
      </c>
      <c r="N11" s="62">
        <v>906809788</v>
      </c>
      <c r="O11" s="83" t="s">
        <v>714</v>
      </c>
    </row>
    <row r="12" spans="2:15" s="87" customFormat="1" ht="12">
      <c r="B12" s="82">
        <v>4</v>
      </c>
      <c r="C12" s="82">
        <v>42146692</v>
      </c>
      <c r="D12" s="83" t="s">
        <v>717</v>
      </c>
      <c r="E12" s="83"/>
      <c r="F12" s="83"/>
      <c r="G12" s="83"/>
      <c r="H12" s="83"/>
      <c r="I12" s="82">
        <v>8</v>
      </c>
      <c r="J12" s="95" t="s">
        <v>686</v>
      </c>
      <c r="K12" s="95" t="s">
        <v>68</v>
      </c>
      <c r="L12" s="95" t="s">
        <v>32</v>
      </c>
      <c r="M12" s="83" t="s">
        <v>675</v>
      </c>
      <c r="N12" s="62">
        <v>984374438</v>
      </c>
      <c r="O12" s="83" t="s">
        <v>714</v>
      </c>
    </row>
    <row r="13" spans="2:15" s="87" customFormat="1" ht="12">
      <c r="B13" s="82">
        <v>5</v>
      </c>
      <c r="C13" s="82">
        <v>43608561</v>
      </c>
      <c r="D13" s="83" t="s">
        <v>718</v>
      </c>
      <c r="E13" s="83"/>
      <c r="F13" s="83"/>
      <c r="G13" s="83"/>
      <c r="H13" s="83"/>
      <c r="I13" s="82">
        <v>5</v>
      </c>
      <c r="J13" s="95" t="s">
        <v>683</v>
      </c>
      <c r="K13" s="95" t="s">
        <v>68</v>
      </c>
      <c r="L13" s="95" t="s">
        <v>20</v>
      </c>
      <c r="M13" s="83" t="s">
        <v>675</v>
      </c>
      <c r="N13" s="62">
        <v>964859651</v>
      </c>
      <c r="O13" s="83" t="s">
        <v>714</v>
      </c>
    </row>
    <row r="14" spans="2:15" s="87" customFormat="1" ht="12">
      <c r="B14" s="82">
        <v>6</v>
      </c>
      <c r="C14" s="82">
        <v>15591781</v>
      </c>
      <c r="D14" s="83" t="s">
        <v>719</v>
      </c>
      <c r="E14" s="83"/>
      <c r="F14" s="83"/>
      <c r="G14" s="83"/>
      <c r="H14" s="83"/>
      <c r="I14" s="82">
        <v>4</v>
      </c>
      <c r="J14" s="95" t="s">
        <v>673</v>
      </c>
      <c r="K14" s="95" t="s">
        <v>68</v>
      </c>
      <c r="L14" s="95" t="s">
        <v>32</v>
      </c>
      <c r="M14" s="83" t="s">
        <v>675</v>
      </c>
      <c r="N14" s="82">
        <v>970427179</v>
      </c>
      <c r="O14" s="83" t="s">
        <v>714</v>
      </c>
    </row>
    <row r="15" spans="2:15" s="87" customFormat="1" ht="12">
      <c r="B15" s="82">
        <v>7</v>
      </c>
      <c r="C15" s="62">
        <v>15590660</v>
      </c>
      <c r="D15" s="63" t="s">
        <v>720</v>
      </c>
      <c r="E15" s="83"/>
      <c r="F15" s="83"/>
      <c r="G15" s="83"/>
      <c r="H15" s="83"/>
      <c r="I15" s="82">
        <v>4</v>
      </c>
      <c r="J15" s="95" t="s">
        <v>683</v>
      </c>
      <c r="K15" s="95" t="s">
        <v>68</v>
      </c>
      <c r="L15" s="95" t="s">
        <v>32</v>
      </c>
      <c r="M15" s="83" t="s">
        <v>675</v>
      </c>
      <c r="N15" s="62">
        <v>987923259</v>
      </c>
      <c r="O15" s="83" t="s">
        <v>714</v>
      </c>
    </row>
    <row r="16" spans="2:15" s="87" customFormat="1" ht="12">
      <c r="B16" s="82">
        <v>8</v>
      </c>
      <c r="C16" s="62">
        <v>15688249</v>
      </c>
      <c r="D16" s="63" t="s">
        <v>721</v>
      </c>
      <c r="E16" s="83"/>
      <c r="F16" s="83"/>
      <c r="G16" s="83"/>
      <c r="H16" s="83"/>
      <c r="I16" s="82">
        <v>9</v>
      </c>
      <c r="J16" s="95" t="s">
        <v>683</v>
      </c>
      <c r="K16" s="95" t="s">
        <v>68</v>
      </c>
      <c r="L16" s="95" t="s">
        <v>32</v>
      </c>
      <c r="M16" s="83" t="s">
        <v>675</v>
      </c>
      <c r="N16" s="62">
        <v>961433324</v>
      </c>
      <c r="O16" s="83" t="s">
        <v>714</v>
      </c>
    </row>
    <row r="17" spans="2:15" s="87" customFormat="1" ht="12">
      <c r="B17" s="82">
        <v>9</v>
      </c>
      <c r="C17" s="62">
        <v>40740790</v>
      </c>
      <c r="D17" s="63" t="s">
        <v>722</v>
      </c>
      <c r="E17" s="83"/>
      <c r="F17" s="83"/>
      <c r="G17" s="83"/>
      <c r="H17" s="83"/>
      <c r="I17" s="82">
        <v>20</v>
      </c>
      <c r="J17" s="95" t="s">
        <v>679</v>
      </c>
      <c r="K17" s="95" t="s">
        <v>68</v>
      </c>
      <c r="L17" s="95" t="s">
        <v>32</v>
      </c>
      <c r="M17" s="83" t="s">
        <v>675</v>
      </c>
      <c r="N17" s="62">
        <v>924012573</v>
      </c>
      <c r="O17" s="83" t="s">
        <v>675</v>
      </c>
    </row>
    <row r="18" spans="2:15" s="87" customFormat="1" ht="12">
      <c r="B18" s="82">
        <v>10</v>
      </c>
      <c r="C18" s="62">
        <v>15725118</v>
      </c>
      <c r="D18" s="63" t="s">
        <v>723</v>
      </c>
      <c r="E18" s="83"/>
      <c r="F18" s="83"/>
      <c r="G18" s="83"/>
      <c r="H18" s="83"/>
      <c r="I18" s="82">
        <v>4</v>
      </c>
      <c r="J18" s="95" t="s">
        <v>683</v>
      </c>
      <c r="K18" s="95" t="s">
        <v>68</v>
      </c>
      <c r="L18" s="95" t="s">
        <v>32</v>
      </c>
      <c r="M18" s="83" t="s">
        <v>675</v>
      </c>
      <c r="N18" s="62">
        <v>970656047</v>
      </c>
      <c r="O18" s="83" t="s">
        <v>714</v>
      </c>
    </row>
    <row r="19" spans="2:15" s="87" customFormat="1" ht="12">
      <c r="B19" s="82">
        <v>11</v>
      </c>
      <c r="C19" s="62">
        <v>43027985</v>
      </c>
      <c r="D19" s="63" t="s">
        <v>724</v>
      </c>
      <c r="E19" s="83"/>
      <c r="F19" s="83"/>
      <c r="G19" s="83"/>
      <c r="H19" s="83"/>
      <c r="I19" s="82">
        <v>9</v>
      </c>
      <c r="J19" s="95" t="s">
        <v>679</v>
      </c>
      <c r="K19" s="95" t="s">
        <v>68</v>
      </c>
      <c r="L19" s="95" t="s">
        <v>20</v>
      </c>
      <c r="M19" s="83" t="s">
        <v>675</v>
      </c>
      <c r="N19" s="62">
        <v>964034650</v>
      </c>
      <c r="O19" s="83" t="s">
        <v>714</v>
      </c>
    </row>
    <row r="20" spans="2:15" s="87" customFormat="1" ht="12">
      <c r="B20" s="82">
        <v>12</v>
      </c>
      <c r="C20" s="62">
        <v>70179483</v>
      </c>
      <c r="D20" s="63" t="s">
        <v>725</v>
      </c>
      <c r="E20" s="83"/>
      <c r="F20" s="83"/>
      <c r="G20" s="83"/>
      <c r="H20" s="83"/>
      <c r="I20" s="82">
        <v>20</v>
      </c>
      <c r="J20" s="95" t="s">
        <v>686</v>
      </c>
      <c r="K20" s="95" t="s">
        <v>68</v>
      </c>
      <c r="L20" s="95" t="s">
        <v>32</v>
      </c>
      <c r="M20" s="83" t="s">
        <v>675</v>
      </c>
      <c r="N20" s="62">
        <v>983861568</v>
      </c>
      <c r="O20" s="83" t="s">
        <v>675</v>
      </c>
    </row>
    <row r="21" spans="2:15" s="87" customFormat="1" ht="12">
      <c r="B21" s="82">
        <v>13</v>
      </c>
      <c r="C21" s="62">
        <v>15738084</v>
      </c>
      <c r="D21" s="63" t="s">
        <v>726</v>
      </c>
      <c r="E21" s="83"/>
      <c r="F21" s="83"/>
      <c r="G21" s="83"/>
      <c r="H21" s="83"/>
      <c r="I21" s="82">
        <v>14</v>
      </c>
      <c r="J21" s="95" t="s">
        <v>686</v>
      </c>
      <c r="K21" s="95" t="s">
        <v>68</v>
      </c>
      <c r="L21" s="95" t="s">
        <v>41</v>
      </c>
      <c r="M21" s="83" t="s">
        <v>675</v>
      </c>
      <c r="N21" s="62">
        <v>996174294</v>
      </c>
      <c r="O21" s="83" t="s">
        <v>675</v>
      </c>
    </row>
    <row r="22" spans="2:15" s="87" customFormat="1" ht="12">
      <c r="B22" s="82">
        <v>14</v>
      </c>
      <c r="C22" s="62">
        <v>26629386</v>
      </c>
      <c r="D22" s="63" t="s">
        <v>727</v>
      </c>
      <c r="E22" s="83"/>
      <c r="F22" s="83"/>
      <c r="G22" s="83"/>
      <c r="H22" s="83"/>
      <c r="I22" s="82">
        <v>8</v>
      </c>
      <c r="J22" s="95" t="s">
        <v>728</v>
      </c>
      <c r="K22" s="95" t="s">
        <v>19</v>
      </c>
      <c r="L22" s="95" t="s">
        <v>20</v>
      </c>
      <c r="M22" s="83" t="s">
        <v>675</v>
      </c>
      <c r="N22" s="62">
        <v>982604568</v>
      </c>
      <c r="O22" s="83" t="s">
        <v>714</v>
      </c>
    </row>
    <row r="23" spans="2:15" s="87" customFormat="1" ht="12">
      <c r="B23" s="82">
        <v>15</v>
      </c>
      <c r="C23" s="62">
        <v>44114929</v>
      </c>
      <c r="D23" s="63" t="s">
        <v>729</v>
      </c>
      <c r="E23" s="83"/>
      <c r="F23" s="83"/>
      <c r="G23" s="83"/>
      <c r="H23" s="83"/>
      <c r="I23" s="82">
        <v>10</v>
      </c>
      <c r="J23" s="95" t="s">
        <v>683</v>
      </c>
      <c r="K23" s="95" t="s">
        <v>19</v>
      </c>
      <c r="L23" s="95" t="s">
        <v>20</v>
      </c>
      <c r="M23" s="83" t="s">
        <v>675</v>
      </c>
      <c r="N23" s="62">
        <v>992110895</v>
      </c>
      <c r="O23" s="83" t="s">
        <v>714</v>
      </c>
    </row>
    <row r="24" spans="2:15" s="87" customFormat="1" ht="12">
      <c r="B24" s="82">
        <v>16</v>
      </c>
      <c r="C24" s="62">
        <v>40435228</v>
      </c>
      <c r="D24" s="63" t="s">
        <v>730</v>
      </c>
      <c r="E24" s="83"/>
      <c r="F24" s="83"/>
      <c r="G24" s="83"/>
      <c r="H24" s="83"/>
      <c r="I24" s="82">
        <v>4</v>
      </c>
      <c r="J24" s="95" t="s">
        <v>686</v>
      </c>
      <c r="K24" s="95" t="s">
        <v>19</v>
      </c>
      <c r="L24" s="95" t="s">
        <v>20</v>
      </c>
      <c r="M24" s="83" t="s">
        <v>675</v>
      </c>
      <c r="N24" s="62">
        <v>990935896</v>
      </c>
      <c r="O24" s="83" t="s">
        <v>714</v>
      </c>
    </row>
    <row r="25" spans="2:15" s="87" customFormat="1" ht="12">
      <c r="B25" s="82">
        <v>17</v>
      </c>
      <c r="C25" s="62">
        <v>16756416</v>
      </c>
      <c r="D25" s="63" t="s">
        <v>731</v>
      </c>
      <c r="E25" s="83"/>
      <c r="F25" s="83"/>
      <c r="G25" s="83"/>
      <c r="H25" s="83"/>
      <c r="I25" s="82">
        <v>18</v>
      </c>
      <c r="J25" s="95" t="s">
        <v>683</v>
      </c>
      <c r="K25" s="95" t="s">
        <v>19</v>
      </c>
      <c r="L25" s="95" t="s">
        <v>20</v>
      </c>
      <c r="M25" s="83" t="s">
        <v>675</v>
      </c>
      <c r="N25" s="62">
        <v>972627821</v>
      </c>
      <c r="O25" s="83" t="s">
        <v>675</v>
      </c>
    </row>
    <row r="26" spans="2:15" s="87" customFormat="1" ht="12">
      <c r="B26" s="82">
        <v>18</v>
      </c>
      <c r="C26" s="62">
        <v>70108675</v>
      </c>
      <c r="D26" s="63" t="s">
        <v>732</v>
      </c>
      <c r="E26" s="83"/>
      <c r="F26" s="83"/>
      <c r="G26" s="83"/>
      <c r="H26" s="83"/>
      <c r="I26" s="73">
        <v>9</v>
      </c>
      <c r="J26" s="62" t="s">
        <v>673</v>
      </c>
      <c r="K26" s="62" t="s">
        <v>19</v>
      </c>
      <c r="L26" s="62" t="s">
        <v>25</v>
      </c>
      <c r="M26" s="83"/>
      <c r="N26" s="62">
        <v>977518295</v>
      </c>
      <c r="O26" s="83" t="s">
        <v>714</v>
      </c>
    </row>
    <row r="27" spans="2:15" s="87" customFormat="1" ht="12">
      <c r="B27" s="82">
        <v>19</v>
      </c>
      <c r="C27" s="62">
        <v>46075693</v>
      </c>
      <c r="D27" s="63" t="s">
        <v>733</v>
      </c>
      <c r="E27" s="83"/>
      <c r="F27" s="83"/>
      <c r="G27" s="83"/>
      <c r="H27" s="83"/>
      <c r="I27" s="73">
        <v>5</v>
      </c>
      <c r="J27" s="62" t="s">
        <v>728</v>
      </c>
      <c r="K27" s="62" t="s">
        <v>19</v>
      </c>
      <c r="L27" s="62" t="s">
        <v>20</v>
      </c>
      <c r="M27" s="83"/>
      <c r="N27" s="62">
        <v>958691349</v>
      </c>
      <c r="O27" s="83" t="s">
        <v>714</v>
      </c>
    </row>
    <row r="28" spans="2:15" s="87" customFormat="1" ht="12">
      <c r="B28" s="82">
        <v>20</v>
      </c>
      <c r="C28" s="62">
        <v>21435528</v>
      </c>
      <c r="D28" s="63" t="s">
        <v>734</v>
      </c>
      <c r="E28" s="83"/>
      <c r="F28" s="83"/>
      <c r="G28" s="83"/>
      <c r="H28" s="83"/>
      <c r="I28" s="73">
        <v>8</v>
      </c>
      <c r="J28" s="62" t="s">
        <v>728</v>
      </c>
      <c r="K28" s="62" t="s">
        <v>19</v>
      </c>
      <c r="L28" s="62" t="s">
        <v>20</v>
      </c>
      <c r="M28" s="83"/>
      <c r="N28" s="62">
        <v>989365672</v>
      </c>
      <c r="O28" s="83" t="s">
        <v>714</v>
      </c>
    </row>
    <row r="29" spans="2:15" s="87" customFormat="1" ht="12">
      <c r="B29" s="82">
        <v>21</v>
      </c>
      <c r="C29" s="62">
        <v>70786643</v>
      </c>
      <c r="D29" s="63" t="s">
        <v>735</v>
      </c>
      <c r="E29" s="83"/>
      <c r="F29" s="83"/>
      <c r="G29" s="83"/>
      <c r="H29" s="83"/>
      <c r="I29" s="73">
        <v>12</v>
      </c>
      <c r="J29" s="62" t="s">
        <v>728</v>
      </c>
      <c r="K29" s="62" t="s">
        <v>40</v>
      </c>
      <c r="L29" s="62" t="s">
        <v>20</v>
      </c>
      <c r="M29" s="83"/>
      <c r="N29" s="62">
        <v>924849452</v>
      </c>
      <c r="O29" s="83" t="s">
        <v>675</v>
      </c>
    </row>
    <row r="30" spans="2:15" s="87" customFormat="1" ht="12">
      <c r="B30" s="82">
        <v>22</v>
      </c>
      <c r="C30" s="62">
        <v>46590523</v>
      </c>
      <c r="D30" s="63" t="s">
        <v>736</v>
      </c>
      <c r="E30" s="83"/>
      <c r="F30" s="83"/>
      <c r="G30" s="83"/>
      <c r="H30" s="83"/>
      <c r="I30" s="73">
        <v>5</v>
      </c>
      <c r="J30" s="62" t="s">
        <v>728</v>
      </c>
      <c r="K30" s="62" t="s">
        <v>19</v>
      </c>
      <c r="L30" s="62" t="s">
        <v>20</v>
      </c>
      <c r="M30" s="83"/>
      <c r="N30" s="62">
        <v>982315013</v>
      </c>
      <c r="O30" s="83" t="s">
        <v>714</v>
      </c>
    </row>
    <row r="31" spans="2:15" s="87" customFormat="1" ht="12">
      <c r="B31" s="82">
        <v>23</v>
      </c>
      <c r="C31" s="62">
        <v>46825060</v>
      </c>
      <c r="D31" s="63" t="s">
        <v>737</v>
      </c>
      <c r="E31" s="83"/>
      <c r="F31" s="83"/>
      <c r="G31" s="83"/>
      <c r="H31" s="83"/>
      <c r="I31" s="73">
        <v>5</v>
      </c>
      <c r="J31" s="62" t="s">
        <v>728</v>
      </c>
      <c r="K31" s="62" t="s">
        <v>40</v>
      </c>
      <c r="L31" s="62" t="s">
        <v>20</v>
      </c>
      <c r="M31" s="83"/>
      <c r="N31" s="62">
        <v>946042178</v>
      </c>
      <c r="O31" s="83" t="s">
        <v>714</v>
      </c>
    </row>
    <row r="32" spans="2:15" s="87" customFormat="1" ht="12">
      <c r="B32" s="82">
        <v>24</v>
      </c>
      <c r="C32" s="62">
        <v>72681156</v>
      </c>
      <c r="D32" s="63" t="s">
        <v>738</v>
      </c>
      <c r="E32" s="83"/>
      <c r="F32" s="83"/>
      <c r="G32" s="83"/>
      <c r="H32" s="83"/>
      <c r="I32" s="73">
        <v>5</v>
      </c>
      <c r="J32" s="62" t="s">
        <v>739</v>
      </c>
      <c r="K32" s="62" t="s">
        <v>40</v>
      </c>
      <c r="L32" s="62" t="s">
        <v>20</v>
      </c>
      <c r="M32" s="83"/>
      <c r="N32" s="62">
        <v>953362861</v>
      </c>
      <c r="O32" s="83" t="s">
        <v>714</v>
      </c>
    </row>
    <row r="33" spans="2:15" s="87" customFormat="1" ht="12">
      <c r="B33" s="82">
        <v>25</v>
      </c>
      <c r="C33" s="96" t="s">
        <v>740</v>
      </c>
      <c r="D33" s="63" t="s">
        <v>741</v>
      </c>
      <c r="E33" s="83"/>
      <c r="F33" s="83"/>
      <c r="G33" s="83"/>
      <c r="H33" s="83"/>
      <c r="I33" s="73">
        <v>3</v>
      </c>
      <c r="J33" s="62" t="s">
        <v>739</v>
      </c>
      <c r="K33" s="62" t="s">
        <v>40</v>
      </c>
      <c r="L33" s="62" t="s">
        <v>20</v>
      </c>
      <c r="M33" s="83"/>
      <c r="N33" s="62">
        <v>933531483</v>
      </c>
      <c r="O33" s="83" t="s">
        <v>714</v>
      </c>
    </row>
    <row r="34" spans="2:15" s="87" customFormat="1" ht="12">
      <c r="B34" s="82">
        <v>26</v>
      </c>
      <c r="C34" s="62">
        <v>45156306</v>
      </c>
      <c r="D34" s="63" t="s">
        <v>742</v>
      </c>
      <c r="E34" s="83"/>
      <c r="F34" s="83"/>
      <c r="G34" s="83"/>
      <c r="H34" s="83"/>
      <c r="I34" s="105">
        <v>17</v>
      </c>
      <c r="J34" s="62" t="s">
        <v>683</v>
      </c>
      <c r="K34" s="62" t="s">
        <v>19</v>
      </c>
      <c r="L34" s="62" t="s">
        <v>20</v>
      </c>
      <c r="M34" s="83"/>
      <c r="N34" s="62">
        <v>969551419</v>
      </c>
      <c r="O34" s="83" t="s">
        <v>675</v>
      </c>
    </row>
    <row r="35" spans="2:15" s="87" customFormat="1" ht="12">
      <c r="B35" s="82">
        <v>27</v>
      </c>
      <c r="C35" s="62">
        <v>41519363</v>
      </c>
      <c r="D35" s="63" t="s">
        <v>743</v>
      </c>
      <c r="E35" s="83"/>
      <c r="F35" s="83"/>
      <c r="G35" s="83"/>
      <c r="H35" s="83"/>
      <c r="I35" s="73">
        <v>4</v>
      </c>
      <c r="J35" s="62" t="s">
        <v>679</v>
      </c>
      <c r="K35" s="62" t="s">
        <v>40</v>
      </c>
      <c r="L35" s="62" t="s">
        <v>20</v>
      </c>
      <c r="M35" s="83"/>
      <c r="N35" s="62">
        <v>987202320</v>
      </c>
      <c r="O35" s="83" t="s">
        <v>714</v>
      </c>
    </row>
    <row r="36" spans="2:15" s="87" customFormat="1" ht="12">
      <c r="B36" s="82">
        <v>28</v>
      </c>
      <c r="C36" s="62">
        <v>46730566</v>
      </c>
      <c r="D36" s="63" t="s">
        <v>744</v>
      </c>
      <c r="E36" s="83"/>
      <c r="F36" s="83"/>
      <c r="G36" s="83"/>
      <c r="H36" s="83"/>
      <c r="I36" s="73">
        <v>15</v>
      </c>
      <c r="J36" s="62" t="s">
        <v>673</v>
      </c>
      <c r="K36" s="62" t="s">
        <v>19</v>
      </c>
      <c r="L36" s="62" t="s">
        <v>20</v>
      </c>
      <c r="M36" s="83"/>
      <c r="N36" s="62">
        <v>983582045</v>
      </c>
      <c r="O36" s="83" t="s">
        <v>675</v>
      </c>
    </row>
    <row r="37" spans="2:15" s="87" customFormat="1" ht="12">
      <c r="B37" s="82">
        <v>29</v>
      </c>
      <c r="C37" s="62">
        <v>41536992</v>
      </c>
      <c r="D37" s="63" t="s">
        <v>745</v>
      </c>
      <c r="E37" s="83"/>
      <c r="F37" s="83"/>
      <c r="G37" s="83"/>
      <c r="H37" s="83"/>
      <c r="I37" s="73">
        <v>8</v>
      </c>
      <c r="J37" s="62" t="s">
        <v>679</v>
      </c>
      <c r="K37" s="62" t="s">
        <v>40</v>
      </c>
      <c r="L37" s="62" t="s">
        <v>20</v>
      </c>
      <c r="M37" s="83"/>
      <c r="N37" s="62">
        <v>969042565</v>
      </c>
      <c r="O37" s="83" t="s">
        <v>714</v>
      </c>
    </row>
    <row r="38" spans="2:15" s="87" customFormat="1" ht="12">
      <c r="B38" s="82">
        <v>30</v>
      </c>
      <c r="C38" s="62">
        <v>40105460</v>
      </c>
      <c r="D38" s="63" t="s">
        <v>746</v>
      </c>
      <c r="E38" s="83"/>
      <c r="F38" s="83"/>
      <c r="G38" s="83"/>
      <c r="H38" s="83"/>
      <c r="I38" s="73">
        <v>10</v>
      </c>
      <c r="J38" s="62" t="s">
        <v>673</v>
      </c>
      <c r="K38" s="62" t="s">
        <v>19</v>
      </c>
      <c r="L38" s="62" t="s">
        <v>20</v>
      </c>
      <c r="M38" s="83"/>
      <c r="N38" s="62">
        <v>950058593</v>
      </c>
      <c r="O38" s="83" t="s">
        <v>714</v>
      </c>
    </row>
    <row r="39" spans="2:15" s="87" customFormat="1" ht="12">
      <c r="B39" s="82">
        <v>31</v>
      </c>
      <c r="C39" s="62">
        <v>42515290</v>
      </c>
      <c r="D39" s="63" t="s">
        <v>747</v>
      </c>
      <c r="E39" s="83"/>
      <c r="F39" s="83"/>
      <c r="G39" s="83"/>
      <c r="H39" s="83"/>
      <c r="I39" s="73">
        <v>32</v>
      </c>
      <c r="J39" s="62" t="s">
        <v>679</v>
      </c>
      <c r="K39" s="62" t="s">
        <v>19</v>
      </c>
      <c r="L39" s="62" t="s">
        <v>25</v>
      </c>
      <c r="M39" s="83"/>
      <c r="N39" s="62">
        <v>976805104</v>
      </c>
      <c r="O39" s="83" t="s">
        <v>675</v>
      </c>
    </row>
    <row r="40" spans="2:15" s="87" customFormat="1" ht="12">
      <c r="B40" s="82">
        <v>32</v>
      </c>
      <c r="C40" s="62">
        <v>45007560</v>
      </c>
      <c r="D40" s="63" t="s">
        <v>748</v>
      </c>
      <c r="E40" s="83"/>
      <c r="F40" s="83"/>
      <c r="G40" s="83"/>
      <c r="H40" s="83"/>
      <c r="I40" s="73">
        <v>8</v>
      </c>
      <c r="J40" s="62" t="s">
        <v>673</v>
      </c>
      <c r="K40" s="62" t="s">
        <v>19</v>
      </c>
      <c r="L40" s="62" t="s">
        <v>20</v>
      </c>
      <c r="M40" s="83"/>
      <c r="N40" s="62">
        <v>969015640</v>
      </c>
      <c r="O40" s="83" t="s">
        <v>714</v>
      </c>
    </row>
    <row r="41" spans="2:15" s="87" customFormat="1" ht="12">
      <c r="B41" s="82">
        <v>33</v>
      </c>
      <c r="C41" s="62">
        <v>29726614</v>
      </c>
      <c r="D41" s="63" t="s">
        <v>749</v>
      </c>
      <c r="E41" s="83"/>
      <c r="F41" s="83"/>
      <c r="G41" s="83"/>
      <c r="H41" s="83"/>
      <c r="I41" s="73">
        <v>15</v>
      </c>
      <c r="J41" s="62" t="s">
        <v>750</v>
      </c>
      <c r="K41" s="62" t="s">
        <v>19</v>
      </c>
      <c r="L41" s="62" t="s">
        <v>20</v>
      </c>
      <c r="M41" s="83"/>
      <c r="N41" s="62">
        <v>971450905</v>
      </c>
      <c r="O41" s="83" t="s">
        <v>675</v>
      </c>
    </row>
    <row r="42" spans="2:15" s="87" customFormat="1" ht="12">
      <c r="B42" s="82">
        <v>34</v>
      </c>
      <c r="C42" s="62">
        <v>76129345</v>
      </c>
      <c r="D42" s="63" t="s">
        <v>751</v>
      </c>
      <c r="E42" s="83"/>
      <c r="F42" s="83"/>
      <c r="G42" s="83"/>
      <c r="H42" s="83"/>
      <c r="I42" s="73">
        <v>8</v>
      </c>
      <c r="J42" s="62" t="s">
        <v>752</v>
      </c>
      <c r="K42" s="62" t="s">
        <v>19</v>
      </c>
      <c r="L42" s="62" t="s">
        <v>20</v>
      </c>
      <c r="M42" s="83"/>
      <c r="N42" s="62">
        <v>921933801</v>
      </c>
      <c r="O42" s="83" t="s">
        <v>714</v>
      </c>
    </row>
    <row r="43" spans="2:15" s="87" customFormat="1" ht="12">
      <c r="B43" s="82">
        <v>35</v>
      </c>
      <c r="C43" s="62">
        <v>72049382</v>
      </c>
      <c r="D43" s="63" t="s">
        <v>753</v>
      </c>
      <c r="E43" s="83"/>
      <c r="F43" s="83"/>
      <c r="G43" s="83"/>
      <c r="H43" s="83"/>
      <c r="I43" s="73">
        <v>10</v>
      </c>
      <c r="J43" s="62" t="s">
        <v>673</v>
      </c>
      <c r="K43" s="62" t="s">
        <v>19</v>
      </c>
      <c r="L43" s="62" t="s">
        <v>20</v>
      </c>
      <c r="M43" s="83"/>
      <c r="N43" s="62">
        <v>988602424</v>
      </c>
      <c r="O43" s="83" t="s">
        <v>714</v>
      </c>
    </row>
    <row r="44" spans="2:15" s="87" customFormat="1" ht="12">
      <c r="B44" s="82">
        <v>36</v>
      </c>
      <c r="C44" s="62">
        <v>15981186</v>
      </c>
      <c r="D44" s="63" t="s">
        <v>754</v>
      </c>
      <c r="E44" s="83"/>
      <c r="F44" s="83"/>
      <c r="G44" s="83"/>
      <c r="H44" s="83"/>
      <c r="I44" s="73">
        <v>5</v>
      </c>
      <c r="J44" s="62" t="s">
        <v>750</v>
      </c>
      <c r="K44" s="62" t="s">
        <v>19</v>
      </c>
      <c r="L44" s="62" t="s">
        <v>20</v>
      </c>
      <c r="M44" s="83"/>
      <c r="N44" s="62">
        <v>992296790</v>
      </c>
      <c r="O44" s="83" t="s">
        <v>714</v>
      </c>
    </row>
    <row r="45" spans="2:15" s="87" customFormat="1" ht="12">
      <c r="B45" s="82">
        <v>37</v>
      </c>
      <c r="C45" s="62">
        <v>40583004</v>
      </c>
      <c r="D45" s="63" t="s">
        <v>755</v>
      </c>
      <c r="E45" s="83"/>
      <c r="F45" s="83"/>
      <c r="G45" s="83"/>
      <c r="H45" s="83"/>
      <c r="I45" s="73">
        <v>8</v>
      </c>
      <c r="J45" s="62" t="s">
        <v>686</v>
      </c>
      <c r="K45" s="62" t="s">
        <v>19</v>
      </c>
      <c r="L45" s="62" t="s">
        <v>20</v>
      </c>
      <c r="M45" s="83"/>
      <c r="N45" s="62">
        <v>992575130</v>
      </c>
      <c r="O45" s="83" t="s">
        <v>714</v>
      </c>
    </row>
    <row r="46" spans="2:15" s="87" customFormat="1" ht="12">
      <c r="B46" s="82">
        <v>38</v>
      </c>
      <c r="C46" s="62">
        <v>10658694</v>
      </c>
      <c r="D46" s="63" t="s">
        <v>756</v>
      </c>
      <c r="E46" s="83"/>
      <c r="F46" s="83"/>
      <c r="G46" s="83"/>
      <c r="H46" s="83"/>
      <c r="I46" s="73">
        <v>10</v>
      </c>
      <c r="J46" s="62" t="s">
        <v>752</v>
      </c>
      <c r="K46" s="62" t="s">
        <v>19</v>
      </c>
      <c r="L46" s="62" t="s">
        <v>20</v>
      </c>
      <c r="M46" s="83"/>
      <c r="N46" s="62">
        <v>995551588</v>
      </c>
      <c r="O46" s="83" t="s">
        <v>714</v>
      </c>
    </row>
    <row r="47" spans="2:15" s="87" customFormat="1" ht="12">
      <c r="B47" s="82">
        <v>39</v>
      </c>
      <c r="C47" s="62">
        <v>15428250</v>
      </c>
      <c r="D47" s="63" t="s">
        <v>757</v>
      </c>
      <c r="E47" s="83"/>
      <c r="F47" s="83"/>
      <c r="G47" s="83"/>
      <c r="H47" s="83"/>
      <c r="I47" s="73">
        <v>10</v>
      </c>
      <c r="J47" s="62" t="s">
        <v>758</v>
      </c>
      <c r="K47" s="62" t="s">
        <v>19</v>
      </c>
      <c r="L47" s="62" t="s">
        <v>32</v>
      </c>
      <c r="M47" s="83"/>
      <c r="N47" s="62">
        <v>953294332</v>
      </c>
      <c r="O47" s="83" t="s">
        <v>714</v>
      </c>
    </row>
    <row r="48" spans="2:15" s="87" customFormat="1" ht="12">
      <c r="B48" s="82">
        <v>40</v>
      </c>
      <c r="C48" s="96" t="s">
        <v>759</v>
      </c>
      <c r="D48" s="63" t="s">
        <v>760</v>
      </c>
      <c r="E48" s="83"/>
      <c r="F48" s="83"/>
      <c r="G48" s="83"/>
      <c r="H48" s="83"/>
      <c r="I48" s="73">
        <v>10</v>
      </c>
      <c r="J48" s="62" t="s">
        <v>758</v>
      </c>
      <c r="K48" s="62" t="s">
        <v>40</v>
      </c>
      <c r="L48" s="62" t="s">
        <v>25</v>
      </c>
      <c r="M48" s="83"/>
      <c r="N48" s="62">
        <v>991299956</v>
      </c>
      <c r="O48" s="83" t="s">
        <v>714</v>
      </c>
    </row>
    <row r="49" spans="2:15" s="87" customFormat="1" ht="12">
      <c r="B49" s="82">
        <v>41</v>
      </c>
      <c r="C49" s="62">
        <v>45303683</v>
      </c>
      <c r="D49" s="63" t="s">
        <v>761</v>
      </c>
      <c r="E49" s="83"/>
      <c r="F49" s="83"/>
      <c r="G49" s="83"/>
      <c r="H49" s="83"/>
      <c r="I49" s="73">
        <v>9</v>
      </c>
      <c r="J49" s="62" t="s">
        <v>752</v>
      </c>
      <c r="K49" s="62" t="s">
        <v>40</v>
      </c>
      <c r="L49" s="62" t="s">
        <v>20</v>
      </c>
      <c r="M49" s="83"/>
      <c r="N49" s="62">
        <v>989918045</v>
      </c>
      <c r="O49" s="83" t="s">
        <v>714</v>
      </c>
    </row>
    <row r="50" spans="2:15" s="87" customFormat="1" ht="12">
      <c r="B50" s="82">
        <v>42</v>
      </c>
      <c r="C50" s="62">
        <v>70277443</v>
      </c>
      <c r="D50" s="63" t="s">
        <v>762</v>
      </c>
      <c r="E50" s="83"/>
      <c r="F50" s="83"/>
      <c r="G50" s="83"/>
      <c r="H50" s="83"/>
      <c r="I50" s="73">
        <v>9</v>
      </c>
      <c r="J50" s="62" t="s">
        <v>763</v>
      </c>
      <c r="K50" s="62" t="s">
        <v>40</v>
      </c>
      <c r="L50" s="62" t="s">
        <v>41</v>
      </c>
      <c r="M50" s="83"/>
      <c r="N50" s="62">
        <v>943858181</v>
      </c>
      <c r="O50" s="83" t="s">
        <v>714</v>
      </c>
    </row>
    <row r="51" spans="2:15" s="87" customFormat="1" ht="12">
      <c r="B51" s="82">
        <v>43</v>
      </c>
      <c r="C51" s="62">
        <v>43958773</v>
      </c>
      <c r="D51" s="63" t="s">
        <v>764</v>
      </c>
      <c r="E51" s="83"/>
      <c r="F51" s="83"/>
      <c r="G51" s="83"/>
      <c r="H51" s="83"/>
      <c r="I51" s="73">
        <v>5</v>
      </c>
      <c r="J51" s="62" t="s">
        <v>710</v>
      </c>
      <c r="K51" s="62" t="s">
        <v>40</v>
      </c>
      <c r="L51" s="62" t="s">
        <v>32</v>
      </c>
      <c r="M51" s="83"/>
      <c r="N51" s="62">
        <v>946862930</v>
      </c>
      <c r="O51" s="83" t="s">
        <v>714</v>
      </c>
    </row>
    <row r="52" spans="2:15" s="89" customFormat="1">
      <c r="B52" s="88">
        <v>44</v>
      </c>
      <c r="C52" s="96" t="s">
        <v>765</v>
      </c>
      <c r="D52" s="63" t="s">
        <v>766</v>
      </c>
      <c r="E52" s="106"/>
      <c r="F52" s="106"/>
      <c r="G52" s="106"/>
      <c r="H52" s="106"/>
      <c r="I52" s="73">
        <v>5</v>
      </c>
      <c r="J52" s="62" t="s">
        <v>710</v>
      </c>
      <c r="K52" s="62" t="s">
        <v>40</v>
      </c>
      <c r="L52" s="62" t="s">
        <v>32</v>
      </c>
      <c r="M52" s="106"/>
      <c r="N52" s="62">
        <v>952833970</v>
      </c>
      <c r="O52" s="83" t="s">
        <v>714</v>
      </c>
    </row>
    <row r="53" spans="2:15" s="89" customFormat="1">
      <c r="B53" s="88">
        <v>45</v>
      </c>
      <c r="C53" s="62">
        <v>43596886</v>
      </c>
      <c r="D53" s="63" t="s">
        <v>767</v>
      </c>
      <c r="E53" s="106"/>
      <c r="F53" s="106"/>
      <c r="G53" s="106"/>
      <c r="H53" s="106"/>
      <c r="I53" s="73">
        <v>4</v>
      </c>
      <c r="J53" s="62" t="s">
        <v>710</v>
      </c>
      <c r="K53" s="62" t="s">
        <v>40</v>
      </c>
      <c r="L53" s="62" t="s">
        <v>32</v>
      </c>
      <c r="M53" s="106"/>
      <c r="N53" s="62">
        <v>983730610</v>
      </c>
      <c r="O53" s="83" t="s">
        <v>714</v>
      </c>
    </row>
    <row r="54" spans="2:15" s="89" customFormat="1">
      <c r="B54" s="88">
        <v>46</v>
      </c>
      <c r="C54" s="62">
        <v>41060828</v>
      </c>
      <c r="D54" s="63" t="s">
        <v>768</v>
      </c>
      <c r="E54" s="106"/>
      <c r="F54" s="106"/>
      <c r="G54" s="106"/>
      <c r="H54" s="106"/>
      <c r="I54" s="73">
        <v>15</v>
      </c>
      <c r="J54" s="62" t="s">
        <v>710</v>
      </c>
      <c r="K54" s="62" t="s">
        <v>19</v>
      </c>
      <c r="L54" s="62" t="s">
        <v>25</v>
      </c>
      <c r="M54" s="106"/>
      <c r="N54" s="62">
        <v>984399500</v>
      </c>
      <c r="O54" s="106" t="s">
        <v>675</v>
      </c>
    </row>
    <row r="55" spans="2:15" s="89" customFormat="1">
      <c r="B55" s="88">
        <v>47</v>
      </c>
      <c r="C55" s="62">
        <v>21447676</v>
      </c>
      <c r="D55" s="63" t="s">
        <v>769</v>
      </c>
      <c r="E55" s="106"/>
      <c r="F55" s="106"/>
      <c r="G55" s="106"/>
      <c r="H55" s="106"/>
      <c r="I55" s="73">
        <v>37</v>
      </c>
      <c r="J55" s="62" t="s">
        <v>710</v>
      </c>
      <c r="K55" s="62" t="s">
        <v>40</v>
      </c>
      <c r="L55" s="62" t="s">
        <v>25</v>
      </c>
      <c r="M55" s="106"/>
      <c r="N55" s="62">
        <v>956634229</v>
      </c>
      <c r="O55" s="106" t="s">
        <v>675</v>
      </c>
    </row>
    <row r="56" spans="2:15" s="89" customFormat="1">
      <c r="B56" s="88">
        <v>48</v>
      </c>
      <c r="C56" s="62">
        <v>46078496</v>
      </c>
      <c r="D56" s="63" t="s">
        <v>770</v>
      </c>
      <c r="E56" s="106"/>
      <c r="F56" s="106"/>
      <c r="G56" s="106"/>
      <c r="H56" s="106"/>
      <c r="I56" s="73">
        <v>11</v>
      </c>
      <c r="J56" s="62" t="s">
        <v>771</v>
      </c>
      <c r="K56" s="62" t="s">
        <v>19</v>
      </c>
      <c r="L56" s="62" t="s">
        <v>41</v>
      </c>
      <c r="M56" s="106"/>
      <c r="N56" s="62">
        <v>991604262</v>
      </c>
      <c r="O56" s="83" t="s">
        <v>714</v>
      </c>
    </row>
    <row r="57" spans="2:15" s="89" customFormat="1">
      <c r="B57" s="88">
        <v>49</v>
      </c>
      <c r="C57" s="62">
        <v>45221222</v>
      </c>
      <c r="D57" s="63" t="s">
        <v>772</v>
      </c>
      <c r="E57" s="106"/>
      <c r="F57" s="106"/>
      <c r="G57" s="106"/>
      <c r="H57" s="106"/>
      <c r="I57" s="73">
        <v>14</v>
      </c>
      <c r="J57" s="62" t="s">
        <v>702</v>
      </c>
      <c r="K57" s="62" t="s">
        <v>19</v>
      </c>
      <c r="L57" s="62" t="s">
        <v>20</v>
      </c>
      <c r="M57" s="106"/>
      <c r="N57" s="62">
        <v>940193258</v>
      </c>
      <c r="O57" s="106" t="s">
        <v>675</v>
      </c>
    </row>
    <row r="58" spans="2:15" s="89" customFormat="1">
      <c r="B58" s="88">
        <v>50</v>
      </c>
      <c r="C58" s="62">
        <v>45023124</v>
      </c>
      <c r="D58" s="63" t="s">
        <v>773</v>
      </c>
      <c r="E58" s="106"/>
      <c r="F58" s="106"/>
      <c r="G58" s="106"/>
      <c r="H58" s="106"/>
      <c r="I58" s="73">
        <v>16</v>
      </c>
      <c r="J58" s="62" t="s">
        <v>702</v>
      </c>
      <c r="K58" s="62" t="s">
        <v>19</v>
      </c>
      <c r="L58" s="62" t="s">
        <v>20</v>
      </c>
      <c r="M58" s="106"/>
      <c r="N58" s="62">
        <v>916461195</v>
      </c>
      <c r="O58" s="106" t="s">
        <v>675</v>
      </c>
    </row>
    <row r="59" spans="2:15" s="89" customFormat="1">
      <c r="B59" s="88">
        <v>51</v>
      </c>
      <c r="C59" s="62">
        <v>16662940</v>
      </c>
      <c r="D59" s="63" t="s">
        <v>774</v>
      </c>
      <c r="E59" s="106"/>
      <c r="F59" s="106"/>
      <c r="G59" s="106"/>
      <c r="H59" s="106"/>
      <c r="I59" s="73">
        <v>16</v>
      </c>
      <c r="J59" s="62" t="s">
        <v>702</v>
      </c>
      <c r="K59" s="62" t="s">
        <v>19</v>
      </c>
      <c r="L59" s="62" t="s">
        <v>20</v>
      </c>
      <c r="M59" s="106"/>
      <c r="N59" s="62">
        <v>998008120</v>
      </c>
      <c r="O59" s="106" t="s">
        <v>675</v>
      </c>
    </row>
    <row r="60" spans="2:15" s="89" customFormat="1">
      <c r="B60" s="88">
        <v>52</v>
      </c>
      <c r="C60" s="62">
        <v>44859703</v>
      </c>
      <c r="D60" s="63" t="s">
        <v>775</v>
      </c>
      <c r="E60" s="106"/>
      <c r="F60" s="106"/>
      <c r="G60" s="106"/>
      <c r="H60" s="106"/>
      <c r="I60" s="73">
        <v>11</v>
      </c>
      <c r="J60" s="62" t="s">
        <v>710</v>
      </c>
      <c r="K60" s="62" t="s">
        <v>40</v>
      </c>
      <c r="L60" s="62" t="s">
        <v>32</v>
      </c>
      <c r="M60" s="106"/>
      <c r="N60" s="62">
        <v>972717272</v>
      </c>
      <c r="O60" s="83" t="s">
        <v>714</v>
      </c>
    </row>
    <row r="61" spans="2:15" s="89" customFormat="1">
      <c r="B61" s="88">
        <v>53</v>
      </c>
      <c r="C61" s="62">
        <v>18071852</v>
      </c>
      <c r="D61" s="63" t="s">
        <v>776</v>
      </c>
      <c r="E61" s="106"/>
      <c r="F61" s="106"/>
      <c r="G61" s="106"/>
      <c r="H61" s="106"/>
      <c r="I61" s="73">
        <v>40</v>
      </c>
      <c r="J61" s="62" t="s">
        <v>702</v>
      </c>
      <c r="K61" s="62" t="s">
        <v>19</v>
      </c>
      <c r="L61" s="62" t="s">
        <v>32</v>
      </c>
      <c r="M61" s="106"/>
      <c r="N61" s="62">
        <v>964297579</v>
      </c>
      <c r="O61" s="106" t="s">
        <v>675</v>
      </c>
    </row>
  </sheetData>
  <mergeCells count="1">
    <mergeCell ref="B6:O6"/>
  </mergeCells>
  <conditionalFormatting sqref="C10">
    <cfRule type="duplicateValues" dxfId="58" priority="27"/>
    <cfRule type="duplicateValues" dxfId="57" priority="28"/>
  </conditionalFormatting>
  <conditionalFormatting sqref="C15">
    <cfRule type="duplicateValues" dxfId="56" priority="25"/>
    <cfRule type="duplicateValues" dxfId="55" priority="26"/>
  </conditionalFormatting>
  <conditionalFormatting sqref="C16">
    <cfRule type="duplicateValues" dxfId="54" priority="23"/>
    <cfRule type="duplicateValues" dxfId="53" priority="24"/>
  </conditionalFormatting>
  <conditionalFormatting sqref="C17">
    <cfRule type="duplicateValues" dxfId="52" priority="21"/>
    <cfRule type="duplicateValues" dxfId="51" priority="22"/>
  </conditionalFormatting>
  <conditionalFormatting sqref="C18">
    <cfRule type="duplicateValues" dxfId="50" priority="19"/>
    <cfRule type="duplicateValues" dxfId="49" priority="20"/>
  </conditionalFormatting>
  <conditionalFormatting sqref="C19">
    <cfRule type="duplicateValues" dxfId="48" priority="17"/>
    <cfRule type="duplicateValues" dxfId="47" priority="18"/>
  </conditionalFormatting>
  <conditionalFormatting sqref="C20">
    <cfRule type="duplicateValues" dxfId="46" priority="15"/>
    <cfRule type="duplicateValues" dxfId="45" priority="16"/>
  </conditionalFormatting>
  <conditionalFormatting sqref="C21">
    <cfRule type="duplicateValues" dxfId="44" priority="13"/>
    <cfRule type="duplicateValues" dxfId="43" priority="14"/>
  </conditionalFormatting>
  <conditionalFormatting sqref="C22">
    <cfRule type="duplicateValues" dxfId="42" priority="11"/>
    <cfRule type="duplicateValues" dxfId="41" priority="12"/>
  </conditionalFormatting>
  <conditionalFormatting sqref="C23">
    <cfRule type="duplicateValues" dxfId="40" priority="9"/>
    <cfRule type="duplicateValues" dxfId="39" priority="10"/>
  </conditionalFormatting>
  <conditionalFormatting sqref="C24">
    <cfRule type="duplicateValues" dxfId="38" priority="7"/>
    <cfRule type="duplicateValues" dxfId="37" priority="8"/>
  </conditionalFormatting>
  <conditionalFormatting sqref="C25">
    <cfRule type="duplicateValues" dxfId="36" priority="5"/>
    <cfRule type="duplicateValues" dxfId="35" priority="6"/>
  </conditionalFormatting>
  <conditionalFormatting sqref="C26:C61">
    <cfRule type="duplicateValues" dxfId="34" priority="3"/>
    <cfRule type="duplicateValues" dxfId="33" priority="4"/>
  </conditionalFormatting>
  <conditionalFormatting sqref="J26:J61">
    <cfRule type="expression" dxfId="32" priority="1">
      <formula>#REF!&lt;&gt;$AC26</formula>
    </cfRule>
    <cfRule type="expression" dxfId="31" priority="2">
      <formula>#REF!="-"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129D-34A7-4E73-B470-D10F66BFB67B}">
  <sheetPr>
    <tabColor theme="3" tint="0.499984740745262"/>
  </sheetPr>
  <dimension ref="B1:P136"/>
  <sheetViews>
    <sheetView workbookViewId="0">
      <selection activeCell="D22" sqref="D22"/>
    </sheetView>
  </sheetViews>
  <sheetFormatPr defaultColWidth="9.140625" defaultRowHeight="15"/>
  <cols>
    <col min="1" max="1" width="2.85546875" customWidth="1"/>
    <col min="2" max="2" width="4.140625" bestFit="1" customWidth="1"/>
    <col min="3" max="3" width="10.5703125" style="1" customWidth="1"/>
    <col min="4" max="4" width="43.7109375" bestFit="1" customWidth="1"/>
    <col min="5" max="8" width="0" hidden="1" customWidth="1"/>
    <col min="9" max="9" width="14.5703125" style="1" bestFit="1" customWidth="1"/>
    <col min="10" max="12" width="15.5703125" style="1" customWidth="1"/>
    <col min="13" max="13" width="36.42578125" bestFit="1" customWidth="1"/>
    <col min="14" max="14" width="17.85546875" style="1" customWidth="1"/>
    <col min="15" max="15" width="20.140625" customWidth="1"/>
  </cols>
  <sheetData>
    <row r="1" spans="2:16">
      <c r="O1" s="1"/>
    </row>
    <row r="2" spans="2:16">
      <c r="O2" s="1"/>
    </row>
    <row r="3" spans="2:16">
      <c r="O3" s="1"/>
    </row>
    <row r="4" spans="2:16">
      <c r="O4" s="1"/>
    </row>
    <row r="5" spans="2:16">
      <c r="O5" s="1"/>
    </row>
    <row r="6" spans="2:16" ht="46.9" customHeight="1">
      <c r="B6" s="112" t="s">
        <v>712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</row>
    <row r="7" spans="2:16">
      <c r="O7" s="1"/>
    </row>
    <row r="8" spans="2:16" s="11" customFormat="1" ht="34.1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5</v>
      </c>
      <c r="K8" s="9" t="s">
        <v>6</v>
      </c>
      <c r="L8" s="9" t="s">
        <v>7</v>
      </c>
      <c r="M8" s="9" t="s">
        <v>13</v>
      </c>
      <c r="N8" s="9" t="s">
        <v>14</v>
      </c>
      <c r="O8" s="9" t="s">
        <v>15</v>
      </c>
    </row>
    <row r="9" spans="2:16" s="89" customFormat="1">
      <c r="B9" s="88">
        <v>1</v>
      </c>
      <c r="C9" s="62">
        <v>15607309</v>
      </c>
      <c r="D9" s="63" t="s">
        <v>777</v>
      </c>
      <c r="E9" s="83"/>
      <c r="F9" s="83"/>
      <c r="G9" s="83"/>
      <c r="H9" s="83"/>
      <c r="I9" s="82">
        <v>12</v>
      </c>
      <c r="J9" s="95" t="s">
        <v>679</v>
      </c>
      <c r="K9" s="95" t="s">
        <v>68</v>
      </c>
      <c r="L9" s="95" t="s">
        <v>32</v>
      </c>
      <c r="M9" s="83" t="s">
        <v>675</v>
      </c>
      <c r="N9" s="62">
        <v>968857951</v>
      </c>
      <c r="O9" s="83" t="s">
        <v>675</v>
      </c>
      <c r="P9" s="87" t="s">
        <v>778</v>
      </c>
    </row>
    <row r="10" spans="2:16" s="89" customFormat="1">
      <c r="B10" s="88">
        <v>2</v>
      </c>
      <c r="C10" s="62">
        <v>29384319</v>
      </c>
      <c r="D10" s="83" t="s">
        <v>779</v>
      </c>
      <c r="E10" s="83"/>
      <c r="F10" s="83"/>
      <c r="G10" s="83"/>
      <c r="H10" s="83"/>
      <c r="I10" s="82">
        <v>18</v>
      </c>
      <c r="J10" s="95" t="s">
        <v>673</v>
      </c>
      <c r="K10" s="95" t="s">
        <v>68</v>
      </c>
      <c r="L10" s="95" t="s">
        <v>32</v>
      </c>
      <c r="M10" s="90" t="s">
        <v>675</v>
      </c>
      <c r="N10" s="82">
        <v>991165153</v>
      </c>
      <c r="O10" s="83" t="s">
        <v>675</v>
      </c>
      <c r="P10" s="87" t="s">
        <v>778</v>
      </c>
    </row>
    <row r="11" spans="2:16" s="89" customFormat="1">
      <c r="B11" s="88">
        <v>3</v>
      </c>
      <c r="C11" s="62">
        <v>44006023</v>
      </c>
      <c r="D11" s="83" t="s">
        <v>780</v>
      </c>
      <c r="E11" s="83"/>
      <c r="F11" s="83"/>
      <c r="G11" s="83"/>
      <c r="H11" s="83"/>
      <c r="I11" s="82">
        <v>8</v>
      </c>
      <c r="J11" s="95" t="s">
        <v>679</v>
      </c>
      <c r="K11" s="95" t="s">
        <v>68</v>
      </c>
      <c r="L11" s="95" t="s">
        <v>32</v>
      </c>
      <c r="M11" s="83" t="s">
        <v>675</v>
      </c>
      <c r="N11" s="82">
        <v>989390670</v>
      </c>
      <c r="O11" s="91" t="s">
        <v>781</v>
      </c>
      <c r="P11" s="87" t="s">
        <v>778</v>
      </c>
    </row>
    <row r="12" spans="2:16" s="89" customFormat="1">
      <c r="B12" s="88">
        <v>4</v>
      </c>
      <c r="C12" s="62">
        <v>44822572</v>
      </c>
      <c r="D12" s="63" t="s">
        <v>782</v>
      </c>
      <c r="E12" s="83"/>
      <c r="F12" s="83"/>
      <c r="G12" s="83"/>
      <c r="H12" s="83"/>
      <c r="I12" s="82">
        <v>9</v>
      </c>
      <c r="J12" s="95" t="s">
        <v>679</v>
      </c>
      <c r="K12" s="95" t="s">
        <v>68</v>
      </c>
      <c r="L12" s="95" t="s">
        <v>20</v>
      </c>
      <c r="M12" s="83" t="s">
        <v>675</v>
      </c>
      <c r="N12" s="92">
        <v>944457776</v>
      </c>
      <c r="O12" s="91" t="s">
        <v>781</v>
      </c>
      <c r="P12" s="87" t="s">
        <v>778</v>
      </c>
    </row>
    <row r="13" spans="2:16" s="89" customFormat="1">
      <c r="B13" s="88">
        <v>5</v>
      </c>
      <c r="C13" s="82">
        <v>42711303</v>
      </c>
      <c r="D13" s="83" t="s">
        <v>783</v>
      </c>
      <c r="E13" s="83"/>
      <c r="F13" s="83"/>
      <c r="G13" s="83"/>
      <c r="H13" s="83"/>
      <c r="I13" s="82">
        <v>20</v>
      </c>
      <c r="J13" s="95" t="s">
        <v>673</v>
      </c>
      <c r="K13" s="95" t="s">
        <v>68</v>
      </c>
      <c r="L13" s="95" t="s">
        <v>32</v>
      </c>
      <c r="M13" s="83" t="s">
        <v>675</v>
      </c>
      <c r="N13" s="82">
        <v>978177488</v>
      </c>
      <c r="O13" s="83" t="s">
        <v>675</v>
      </c>
      <c r="P13" s="87" t="s">
        <v>778</v>
      </c>
    </row>
    <row r="14" spans="2:16" s="89" customFormat="1">
      <c r="B14" s="88">
        <v>7</v>
      </c>
      <c r="C14" s="82">
        <v>40432935</v>
      </c>
      <c r="D14" s="83" t="s">
        <v>784</v>
      </c>
      <c r="E14" s="83"/>
      <c r="F14" s="83"/>
      <c r="G14" s="83"/>
      <c r="H14" s="83"/>
      <c r="I14" s="82">
        <v>4</v>
      </c>
      <c r="J14" s="95" t="s">
        <v>679</v>
      </c>
      <c r="K14" s="95" t="s">
        <v>68</v>
      </c>
      <c r="L14" s="95" t="s">
        <v>32</v>
      </c>
      <c r="M14" s="83" t="s">
        <v>675</v>
      </c>
      <c r="N14" s="62">
        <v>994985272</v>
      </c>
      <c r="O14" s="91" t="s">
        <v>781</v>
      </c>
      <c r="P14" s="87" t="s">
        <v>778</v>
      </c>
    </row>
    <row r="15" spans="2:16" s="89" customFormat="1">
      <c r="B15" s="88">
        <v>8</v>
      </c>
      <c r="C15" s="82">
        <v>40382257</v>
      </c>
      <c r="D15" s="83" t="s">
        <v>785</v>
      </c>
      <c r="E15" s="83"/>
      <c r="F15" s="83"/>
      <c r="G15" s="83"/>
      <c r="H15" s="83"/>
      <c r="I15" s="82">
        <v>12</v>
      </c>
      <c r="J15" s="95" t="s">
        <v>679</v>
      </c>
      <c r="K15" s="95" t="s">
        <v>68</v>
      </c>
      <c r="L15" s="95" t="s">
        <v>32</v>
      </c>
      <c r="M15" s="83" t="s">
        <v>675</v>
      </c>
      <c r="N15" s="62">
        <v>936649961</v>
      </c>
      <c r="O15" s="83" t="s">
        <v>675</v>
      </c>
      <c r="P15" s="87" t="s">
        <v>778</v>
      </c>
    </row>
    <row r="16" spans="2:16">
      <c r="B16" s="4">
        <v>9</v>
      </c>
      <c r="C16" s="49"/>
      <c r="D16" s="38" t="s">
        <v>786</v>
      </c>
      <c r="E16" s="48"/>
      <c r="F16" s="48"/>
      <c r="G16" s="48"/>
      <c r="H16" s="48"/>
      <c r="I16" s="49"/>
      <c r="J16" s="14"/>
      <c r="K16" s="14"/>
      <c r="L16" s="14"/>
      <c r="M16" s="48"/>
      <c r="N16" s="49"/>
      <c r="O16" s="48"/>
      <c r="P16" s="51"/>
    </row>
    <row r="17" spans="2:16">
      <c r="B17" s="4">
        <v>10</v>
      </c>
      <c r="C17" s="49"/>
      <c r="D17" s="38" t="s">
        <v>787</v>
      </c>
      <c r="E17" s="48"/>
      <c r="F17" s="48"/>
      <c r="G17" s="48"/>
      <c r="H17" s="48"/>
      <c r="I17" s="49"/>
      <c r="J17" s="14"/>
      <c r="K17" s="14"/>
      <c r="L17" s="14"/>
      <c r="M17" s="48"/>
      <c r="N17" s="49"/>
      <c r="O17" s="48"/>
      <c r="P17" s="51"/>
    </row>
    <row r="18" spans="2:16">
      <c r="B18" s="4">
        <v>11</v>
      </c>
      <c r="C18" s="49"/>
      <c r="D18" s="38" t="s">
        <v>788</v>
      </c>
      <c r="E18" s="48"/>
      <c r="F18" s="48"/>
      <c r="G18" s="48"/>
      <c r="H18" s="48"/>
      <c r="I18" s="49"/>
      <c r="J18" s="14"/>
      <c r="K18" s="14"/>
      <c r="L18" s="14"/>
      <c r="M18" s="48"/>
      <c r="N18" s="52"/>
      <c r="O18" s="48"/>
      <c r="P18" s="51"/>
    </row>
    <row r="19" spans="2:16">
      <c r="B19" s="4">
        <v>12</v>
      </c>
      <c r="C19" s="49"/>
      <c r="D19" s="38" t="s">
        <v>789</v>
      </c>
      <c r="E19" s="48"/>
      <c r="F19" s="48"/>
      <c r="G19" s="48"/>
      <c r="H19" s="48"/>
      <c r="I19" s="49"/>
      <c r="J19" s="14"/>
      <c r="K19" s="14"/>
      <c r="L19" s="14"/>
      <c r="M19" s="48"/>
      <c r="N19" s="49"/>
      <c r="O19" s="48"/>
      <c r="P19" s="51"/>
    </row>
    <row r="20" spans="2:16">
      <c r="B20" s="4">
        <v>13</v>
      </c>
      <c r="C20" s="49"/>
      <c r="D20" s="133" t="s">
        <v>790</v>
      </c>
      <c r="E20" s="48"/>
      <c r="F20" s="48"/>
      <c r="G20" s="48"/>
      <c r="H20" s="48"/>
      <c r="I20" s="49"/>
      <c r="J20" s="14"/>
      <c r="K20" s="14"/>
      <c r="L20" s="14"/>
      <c r="M20" s="48"/>
      <c r="N20" s="49"/>
      <c r="O20" s="48"/>
      <c r="P20" s="51"/>
    </row>
    <row r="21" spans="2:16">
      <c r="B21" s="4">
        <v>14</v>
      </c>
      <c r="C21" s="49"/>
      <c r="D21" s="48"/>
      <c r="E21" s="48"/>
      <c r="F21" s="48"/>
      <c r="G21" s="48"/>
      <c r="H21" s="48"/>
      <c r="I21" s="49"/>
      <c r="J21" s="14"/>
      <c r="K21" s="14"/>
      <c r="L21" s="14"/>
      <c r="M21" s="48"/>
      <c r="N21" s="49"/>
      <c r="O21" s="48"/>
      <c r="P21" s="51"/>
    </row>
    <row r="22" spans="2:16">
      <c r="B22" s="4">
        <v>15</v>
      </c>
      <c r="C22" s="49"/>
      <c r="D22" s="48"/>
      <c r="E22" s="48"/>
      <c r="F22" s="48"/>
      <c r="G22" s="48"/>
      <c r="H22" s="48"/>
      <c r="I22" s="49"/>
      <c r="J22" s="14"/>
      <c r="K22" s="14"/>
      <c r="L22" s="14"/>
      <c r="M22" s="48"/>
      <c r="N22" s="49"/>
      <c r="O22" s="48"/>
      <c r="P22" s="51"/>
    </row>
    <row r="23" spans="2:16">
      <c r="B23" s="4">
        <v>16</v>
      </c>
      <c r="C23" s="49"/>
      <c r="D23" s="48"/>
      <c r="E23" s="48"/>
      <c r="F23" s="48"/>
      <c r="G23" s="48"/>
      <c r="H23" s="48"/>
      <c r="I23" s="49"/>
      <c r="J23" s="14"/>
      <c r="K23" s="14"/>
      <c r="L23" s="14"/>
      <c r="M23" s="48"/>
      <c r="N23" s="49"/>
      <c r="O23" s="48"/>
      <c r="P23" s="51"/>
    </row>
    <row r="24" spans="2:16">
      <c r="B24" s="4">
        <v>17</v>
      </c>
      <c r="C24" s="49"/>
      <c r="D24" s="48"/>
      <c r="E24" s="48"/>
      <c r="F24" s="48"/>
      <c r="G24" s="48"/>
      <c r="H24" s="48"/>
      <c r="I24" s="49"/>
      <c r="J24" s="14"/>
      <c r="K24" s="14"/>
      <c r="L24" s="14"/>
      <c r="M24" s="48"/>
      <c r="N24" s="49"/>
      <c r="O24" s="48"/>
      <c r="P24" s="51"/>
    </row>
    <row r="25" spans="2:16">
      <c r="B25" s="4">
        <v>18</v>
      </c>
      <c r="C25" s="49"/>
      <c r="D25" s="48"/>
      <c r="E25" s="48"/>
      <c r="F25" s="48"/>
      <c r="G25" s="48"/>
      <c r="H25" s="48"/>
      <c r="I25" s="49"/>
      <c r="J25" s="14"/>
      <c r="K25" s="14"/>
      <c r="L25" s="14"/>
      <c r="M25" s="48"/>
      <c r="N25" s="49"/>
      <c r="O25" s="48"/>
      <c r="P25" s="51"/>
    </row>
    <row r="26" spans="2:16">
      <c r="B26" s="4">
        <v>19</v>
      </c>
      <c r="C26" s="49"/>
      <c r="D26" s="48"/>
      <c r="E26" s="48"/>
      <c r="F26" s="48"/>
      <c r="G26" s="48"/>
      <c r="H26" s="48"/>
      <c r="I26" s="49"/>
      <c r="J26" s="14"/>
      <c r="K26" s="14"/>
      <c r="L26" s="14"/>
      <c r="M26" s="48"/>
      <c r="N26" s="49"/>
      <c r="O26" s="48"/>
      <c r="P26" s="51"/>
    </row>
    <row r="27" spans="2:16">
      <c r="B27" s="4">
        <v>20</v>
      </c>
      <c r="C27" s="49"/>
      <c r="D27" s="48"/>
      <c r="E27" s="48"/>
      <c r="F27" s="48"/>
      <c r="G27" s="48"/>
      <c r="H27" s="48"/>
      <c r="I27" s="49"/>
      <c r="J27" s="14"/>
      <c r="K27" s="14"/>
      <c r="L27" s="14"/>
      <c r="M27" s="48"/>
      <c r="N27" s="49"/>
      <c r="O27" s="48"/>
      <c r="P27" s="51"/>
    </row>
    <row r="28" spans="2:16">
      <c r="B28" s="4">
        <v>21</v>
      </c>
      <c r="C28" s="49"/>
      <c r="D28" s="48"/>
      <c r="E28" s="48"/>
      <c r="F28" s="48"/>
      <c r="G28" s="48"/>
      <c r="H28" s="48"/>
      <c r="I28" s="49"/>
      <c r="J28" s="14"/>
      <c r="K28" s="14"/>
      <c r="L28" s="14"/>
      <c r="M28" s="48"/>
      <c r="N28" s="49"/>
      <c r="O28" s="48"/>
      <c r="P28" s="51"/>
    </row>
    <row r="29" spans="2:16">
      <c r="B29" s="4">
        <v>22</v>
      </c>
      <c r="C29" s="49"/>
      <c r="D29" s="48"/>
      <c r="E29" s="48"/>
      <c r="F29" s="48"/>
      <c r="G29" s="48"/>
      <c r="H29" s="48"/>
      <c r="I29" s="49"/>
      <c r="J29" s="14"/>
      <c r="K29" s="14"/>
      <c r="L29" s="14"/>
      <c r="M29" s="48"/>
      <c r="N29" s="49"/>
      <c r="O29" s="48"/>
      <c r="P29" s="51"/>
    </row>
    <row r="30" spans="2:16">
      <c r="B30" s="4">
        <v>23</v>
      </c>
      <c r="C30" s="49"/>
      <c r="D30" s="48"/>
      <c r="E30" s="48"/>
      <c r="F30" s="48"/>
      <c r="G30" s="48"/>
      <c r="H30" s="48"/>
      <c r="I30" s="49"/>
      <c r="J30" s="14"/>
      <c r="K30" s="14"/>
      <c r="L30" s="14"/>
      <c r="M30" s="48"/>
      <c r="N30" s="49"/>
      <c r="O30" s="48"/>
      <c r="P30" s="51"/>
    </row>
    <row r="31" spans="2:16">
      <c r="B31" s="4">
        <v>24</v>
      </c>
      <c r="C31" s="49"/>
      <c r="D31" s="48"/>
      <c r="E31" s="48"/>
      <c r="F31" s="48"/>
      <c r="G31" s="48"/>
      <c r="H31" s="48"/>
      <c r="I31" s="49"/>
      <c r="J31" s="14"/>
      <c r="K31" s="14"/>
      <c r="L31" s="14"/>
      <c r="M31" s="48"/>
      <c r="N31" s="49"/>
      <c r="O31" s="48"/>
      <c r="P31" s="51"/>
    </row>
    <row r="32" spans="2:16">
      <c r="B32" s="4">
        <v>25</v>
      </c>
      <c r="C32" s="4"/>
      <c r="D32" s="5"/>
      <c r="E32" s="5"/>
      <c r="F32" s="5"/>
      <c r="G32" s="5"/>
      <c r="H32" s="5"/>
      <c r="I32" s="4"/>
      <c r="J32" s="14"/>
      <c r="K32" s="14"/>
      <c r="L32" s="14"/>
      <c r="M32" s="5"/>
      <c r="N32" s="4"/>
      <c r="O32" s="5"/>
    </row>
    <row r="33" spans="2:15">
      <c r="B33" s="4">
        <v>26</v>
      </c>
      <c r="C33" s="4"/>
      <c r="D33" s="5"/>
      <c r="E33" s="5"/>
      <c r="F33" s="5"/>
      <c r="G33" s="5"/>
      <c r="H33" s="5"/>
      <c r="I33" s="4"/>
      <c r="J33" s="14"/>
      <c r="K33" s="14"/>
      <c r="L33" s="14"/>
      <c r="M33" s="5"/>
      <c r="N33" s="4"/>
      <c r="O33" s="5"/>
    </row>
    <row r="34" spans="2:15">
      <c r="B34" s="4">
        <v>27</v>
      </c>
      <c r="C34" s="4"/>
      <c r="D34" s="5"/>
      <c r="E34" s="5"/>
      <c r="F34" s="5"/>
      <c r="G34" s="5"/>
      <c r="H34" s="5"/>
      <c r="I34" s="4"/>
      <c r="J34" s="14"/>
      <c r="K34" s="14"/>
      <c r="L34" s="14"/>
      <c r="M34" s="5"/>
      <c r="N34" s="4"/>
      <c r="O34" s="5"/>
    </row>
    <row r="35" spans="2:15">
      <c r="B35" s="4">
        <v>28</v>
      </c>
      <c r="C35" s="4"/>
      <c r="D35" s="5"/>
      <c r="E35" s="5"/>
      <c r="F35" s="5"/>
      <c r="G35" s="5"/>
      <c r="H35" s="5"/>
      <c r="I35" s="4"/>
      <c r="J35" s="14"/>
      <c r="K35" s="14"/>
      <c r="L35" s="14"/>
      <c r="M35" s="5"/>
      <c r="N35" s="4"/>
      <c r="O35" s="5"/>
    </row>
    <row r="36" spans="2:15">
      <c r="B36" s="4">
        <v>29</v>
      </c>
      <c r="C36" s="4"/>
      <c r="D36" s="5"/>
      <c r="E36" s="5"/>
      <c r="F36" s="5"/>
      <c r="G36" s="5"/>
      <c r="H36" s="5"/>
      <c r="I36" s="4"/>
      <c r="J36" s="14"/>
      <c r="K36" s="14"/>
      <c r="L36" s="14"/>
      <c r="M36" s="5"/>
      <c r="N36" s="4"/>
      <c r="O36" s="5"/>
    </row>
    <row r="37" spans="2:15">
      <c r="B37" s="4">
        <v>30</v>
      </c>
      <c r="C37" s="4"/>
      <c r="D37" s="5"/>
      <c r="E37" s="5"/>
      <c r="F37" s="5"/>
      <c r="G37" s="5"/>
      <c r="H37" s="5"/>
      <c r="I37" s="4"/>
      <c r="J37" s="14"/>
      <c r="K37" s="14"/>
      <c r="L37" s="14"/>
      <c r="M37" s="5"/>
      <c r="N37" s="4"/>
      <c r="O37" s="5"/>
    </row>
    <row r="38" spans="2:15">
      <c r="B38" s="4">
        <v>31</v>
      </c>
      <c r="C38" s="4"/>
      <c r="D38" s="5"/>
      <c r="E38" s="5"/>
      <c r="F38" s="5"/>
      <c r="G38" s="5"/>
      <c r="H38" s="5"/>
      <c r="I38" s="4"/>
      <c r="J38" s="14"/>
      <c r="K38" s="14"/>
      <c r="L38" s="14"/>
      <c r="M38" s="5"/>
      <c r="N38" s="4"/>
      <c r="O38" s="5"/>
    </row>
    <row r="39" spans="2:15">
      <c r="B39" s="4">
        <v>32</v>
      </c>
      <c r="C39" s="4"/>
      <c r="D39" s="5"/>
      <c r="E39" s="5"/>
      <c r="F39" s="5"/>
      <c r="G39" s="5"/>
      <c r="H39" s="5"/>
      <c r="I39" s="4"/>
      <c r="J39" s="14"/>
      <c r="K39" s="14"/>
      <c r="L39" s="14"/>
      <c r="M39" s="5"/>
      <c r="N39" s="4"/>
      <c r="O39" s="5"/>
    </row>
    <row r="40" spans="2:15">
      <c r="B40" s="4">
        <v>33</v>
      </c>
      <c r="C40" s="4"/>
      <c r="D40" s="5"/>
      <c r="E40" s="5"/>
      <c r="F40" s="5"/>
      <c r="G40" s="5"/>
      <c r="H40" s="5"/>
      <c r="I40" s="4"/>
      <c r="J40" s="14"/>
      <c r="K40" s="14"/>
      <c r="L40" s="14"/>
      <c r="M40" s="5"/>
      <c r="N40" s="4"/>
      <c r="O40" s="5"/>
    </row>
    <row r="41" spans="2:15">
      <c r="B41" s="4">
        <v>34</v>
      </c>
      <c r="C41" s="4"/>
      <c r="D41" s="5"/>
      <c r="E41" s="5"/>
      <c r="F41" s="5"/>
      <c r="G41" s="5"/>
      <c r="H41" s="5"/>
      <c r="I41" s="4"/>
      <c r="J41" s="14"/>
      <c r="K41" s="14"/>
      <c r="L41" s="14"/>
      <c r="M41" s="5"/>
      <c r="N41" s="12"/>
      <c r="O41" s="5"/>
    </row>
    <row r="42" spans="2:15">
      <c r="B42" s="4">
        <v>35</v>
      </c>
      <c r="C42" s="4"/>
      <c r="D42" s="5"/>
      <c r="E42" s="5"/>
      <c r="F42" s="5"/>
      <c r="G42" s="5"/>
      <c r="H42" s="5"/>
      <c r="I42" s="4"/>
      <c r="J42" s="14"/>
      <c r="K42" s="14"/>
      <c r="L42" s="14"/>
      <c r="M42" s="5"/>
      <c r="N42" s="4"/>
      <c r="O42" s="5"/>
    </row>
    <row r="43" spans="2:15">
      <c r="B43" s="4">
        <v>36</v>
      </c>
      <c r="C43" s="4"/>
      <c r="D43" s="5"/>
      <c r="E43" s="5"/>
      <c r="F43" s="5"/>
      <c r="G43" s="5"/>
      <c r="H43" s="5"/>
      <c r="I43" s="4"/>
      <c r="J43" s="14"/>
      <c r="K43" s="14"/>
      <c r="L43" s="14"/>
      <c r="M43" s="5"/>
      <c r="N43" s="4"/>
      <c r="O43" s="5"/>
    </row>
    <row r="44" spans="2:15">
      <c r="B44" s="4">
        <v>37</v>
      </c>
      <c r="C44" s="4"/>
      <c r="D44" s="19"/>
      <c r="E44" s="5"/>
      <c r="F44" s="5"/>
      <c r="G44" s="5"/>
      <c r="H44" s="5"/>
      <c r="I44" s="4"/>
      <c r="J44" s="4"/>
      <c r="K44" s="4"/>
      <c r="L44" s="4"/>
      <c r="M44" s="5"/>
      <c r="N44" s="4"/>
      <c r="O44" s="5"/>
    </row>
    <row r="45" spans="2:15">
      <c r="B45" s="4">
        <v>38</v>
      </c>
      <c r="C45" s="4"/>
      <c r="D45" s="5"/>
      <c r="E45" s="5"/>
      <c r="F45" s="5"/>
      <c r="G45" s="5"/>
      <c r="H45" s="5"/>
      <c r="I45" s="4"/>
      <c r="J45" s="14"/>
      <c r="K45" s="14"/>
      <c r="L45" s="14"/>
      <c r="M45" s="5"/>
      <c r="N45" s="4"/>
      <c r="O45" s="5"/>
    </row>
    <row r="46" spans="2:15">
      <c r="B46" s="4">
        <v>39</v>
      </c>
      <c r="C46" s="4"/>
      <c r="D46" s="5"/>
      <c r="E46" s="5"/>
      <c r="F46" s="5"/>
      <c r="G46" s="5"/>
      <c r="H46" s="5"/>
      <c r="I46" s="4"/>
      <c r="J46" s="14"/>
      <c r="K46" s="14"/>
      <c r="L46" s="14"/>
      <c r="M46" s="5"/>
      <c r="N46" s="4"/>
      <c r="O46" s="5"/>
    </row>
    <row r="47" spans="2:15">
      <c r="B47" s="4">
        <v>40</v>
      </c>
      <c r="C47" s="4"/>
      <c r="D47" s="5"/>
      <c r="E47" s="5"/>
      <c r="F47" s="5"/>
      <c r="G47" s="5"/>
      <c r="H47" s="5"/>
      <c r="I47" s="4"/>
      <c r="J47" s="14"/>
      <c r="K47" s="14"/>
      <c r="L47" s="14"/>
      <c r="M47" s="5"/>
      <c r="N47" s="4"/>
      <c r="O47" s="5"/>
    </row>
    <row r="48" spans="2:15">
      <c r="B48" s="4">
        <v>41</v>
      </c>
      <c r="C48" s="4"/>
      <c r="D48" s="5"/>
      <c r="E48" s="5"/>
      <c r="F48" s="5"/>
      <c r="G48" s="5"/>
      <c r="H48" s="5"/>
      <c r="I48" s="4"/>
      <c r="J48" s="14"/>
      <c r="K48" s="14"/>
      <c r="L48" s="14"/>
      <c r="M48" s="5"/>
      <c r="N48" s="4"/>
      <c r="O48" s="5"/>
    </row>
    <row r="49" spans="2:15">
      <c r="B49" s="4">
        <v>42</v>
      </c>
      <c r="C49" s="4"/>
      <c r="D49" s="5"/>
      <c r="E49" s="5"/>
      <c r="F49" s="5"/>
      <c r="G49" s="5"/>
      <c r="H49" s="5"/>
      <c r="I49" s="4"/>
      <c r="J49" s="14"/>
      <c r="K49" s="14"/>
      <c r="L49" s="14"/>
      <c r="M49" s="5"/>
      <c r="N49" s="4"/>
      <c r="O49" s="5"/>
    </row>
    <row r="50" spans="2:15">
      <c r="B50" s="4">
        <v>43</v>
      </c>
      <c r="C50" s="4"/>
      <c r="D50" s="5"/>
      <c r="E50" s="5"/>
      <c r="F50" s="5"/>
      <c r="G50" s="5"/>
      <c r="H50" s="5"/>
      <c r="I50" s="4"/>
      <c r="J50" s="14"/>
      <c r="K50" s="14"/>
      <c r="L50" s="14"/>
      <c r="M50" s="5"/>
      <c r="N50" s="4"/>
      <c r="O50" s="5"/>
    </row>
    <row r="51" spans="2:15">
      <c r="B51" s="4">
        <v>44</v>
      </c>
      <c r="C51" s="4"/>
      <c r="D51" s="5"/>
      <c r="E51" s="5"/>
      <c r="F51" s="5"/>
      <c r="G51" s="5"/>
      <c r="H51" s="5"/>
      <c r="I51" s="4"/>
      <c r="J51" s="14"/>
      <c r="K51" s="14"/>
      <c r="L51" s="14"/>
      <c r="M51" s="5"/>
      <c r="N51" s="4"/>
      <c r="O51" s="5"/>
    </row>
    <row r="52" spans="2:15">
      <c r="B52" s="4">
        <v>45</v>
      </c>
      <c r="C52" s="4"/>
      <c r="D52" s="5"/>
      <c r="E52" s="5"/>
      <c r="F52" s="5"/>
      <c r="G52" s="5"/>
      <c r="H52" s="5"/>
      <c r="I52" s="4"/>
      <c r="J52" s="14"/>
      <c r="K52" s="14"/>
      <c r="L52" s="14"/>
      <c r="M52" s="5"/>
      <c r="N52" s="4"/>
      <c r="O52" s="5"/>
    </row>
    <row r="53" spans="2:15">
      <c r="B53" s="4">
        <v>46</v>
      </c>
      <c r="C53" s="4"/>
      <c r="D53" s="5"/>
      <c r="E53" s="5"/>
      <c r="F53" s="5"/>
      <c r="G53" s="5"/>
      <c r="H53" s="5"/>
      <c r="I53" s="4"/>
      <c r="J53" s="14"/>
      <c r="K53" s="14"/>
      <c r="L53" s="14"/>
      <c r="M53" s="5"/>
      <c r="N53" s="4"/>
      <c r="O53" s="5"/>
    </row>
    <row r="54" spans="2:15">
      <c r="B54" s="4">
        <v>47</v>
      </c>
      <c r="C54" s="4"/>
      <c r="D54" s="5"/>
      <c r="E54" s="5"/>
      <c r="F54" s="5"/>
      <c r="G54" s="5"/>
      <c r="H54" s="5"/>
      <c r="I54" s="4"/>
      <c r="J54" s="14"/>
      <c r="K54" s="14"/>
      <c r="L54" s="14"/>
      <c r="M54" s="5"/>
      <c r="N54" s="4"/>
      <c r="O54" s="5"/>
    </row>
    <row r="55" spans="2:15">
      <c r="B55" s="4">
        <v>48</v>
      </c>
      <c r="C55" s="4"/>
      <c r="D55" s="5"/>
      <c r="E55" s="5"/>
      <c r="F55" s="5"/>
      <c r="G55" s="5"/>
      <c r="H55" s="5"/>
      <c r="I55" s="4"/>
      <c r="J55" s="14"/>
      <c r="K55" s="14"/>
      <c r="L55" s="14"/>
      <c r="M55" s="5"/>
      <c r="N55" s="4"/>
      <c r="O55" s="5"/>
    </row>
    <row r="56" spans="2:15">
      <c r="B56" s="4">
        <v>49</v>
      </c>
      <c r="C56" s="4"/>
      <c r="D56" s="5"/>
      <c r="E56" s="5"/>
      <c r="F56" s="5"/>
      <c r="G56" s="5"/>
      <c r="H56" s="5"/>
      <c r="I56" s="4"/>
      <c r="J56" s="14"/>
      <c r="K56" s="14"/>
      <c r="L56" s="14"/>
      <c r="M56" s="5"/>
      <c r="N56" s="4"/>
      <c r="O56" s="5"/>
    </row>
    <row r="57" spans="2:15">
      <c r="B57" s="4">
        <v>50</v>
      </c>
      <c r="C57" s="4"/>
      <c r="D57" s="5"/>
      <c r="E57" s="5"/>
      <c r="F57" s="5"/>
      <c r="G57" s="5"/>
      <c r="H57" s="5"/>
      <c r="I57" s="4"/>
      <c r="J57" s="14"/>
      <c r="K57" s="14"/>
      <c r="L57" s="14"/>
      <c r="M57" s="5"/>
      <c r="N57" s="4"/>
      <c r="O57" s="5"/>
    </row>
    <row r="58" spans="2:15">
      <c r="B58" s="4">
        <v>51</v>
      </c>
      <c r="C58" s="4"/>
      <c r="D58" s="5"/>
      <c r="E58" s="5"/>
      <c r="F58" s="5"/>
      <c r="G58" s="5"/>
      <c r="H58" s="5"/>
      <c r="I58" s="4"/>
      <c r="J58" s="14"/>
      <c r="K58" s="14"/>
      <c r="L58" s="14"/>
      <c r="M58" s="5"/>
      <c r="N58" s="4"/>
      <c r="O58" s="5"/>
    </row>
    <row r="59" spans="2:15">
      <c r="B59" s="4">
        <v>52</v>
      </c>
      <c r="C59" s="4"/>
      <c r="D59" s="5"/>
      <c r="E59" s="5"/>
      <c r="F59" s="5"/>
      <c r="G59" s="5"/>
      <c r="H59" s="5"/>
      <c r="I59" s="4"/>
      <c r="J59" s="14"/>
      <c r="K59" s="14"/>
      <c r="L59" s="14"/>
      <c r="M59" s="5"/>
      <c r="N59" s="4"/>
      <c r="O59" s="5"/>
    </row>
    <row r="60" spans="2:15">
      <c r="B60" s="4">
        <v>53</v>
      </c>
      <c r="C60" s="4"/>
      <c r="D60" s="5"/>
      <c r="E60" s="5"/>
      <c r="F60" s="5"/>
      <c r="G60" s="5"/>
      <c r="H60" s="5"/>
      <c r="I60" s="4"/>
      <c r="J60" s="14"/>
      <c r="K60" s="14"/>
      <c r="L60" s="14"/>
      <c r="M60" s="5"/>
      <c r="N60" s="4"/>
      <c r="O60" s="5"/>
    </row>
    <row r="61" spans="2:15">
      <c r="B61" s="4">
        <v>54</v>
      </c>
      <c r="C61" s="4"/>
      <c r="D61" s="5"/>
      <c r="E61" s="5"/>
      <c r="F61" s="5"/>
      <c r="G61" s="5"/>
      <c r="H61" s="5"/>
      <c r="I61" s="4"/>
      <c r="J61" s="14"/>
      <c r="K61" s="14"/>
      <c r="L61" s="14"/>
      <c r="M61" s="5"/>
      <c r="N61" s="4"/>
      <c r="O61" s="5"/>
    </row>
    <row r="62" spans="2:15">
      <c r="B62" s="4">
        <v>55</v>
      </c>
      <c r="C62" s="4"/>
      <c r="D62" s="5"/>
      <c r="E62" s="5"/>
      <c r="F62" s="5"/>
      <c r="G62" s="5"/>
      <c r="H62" s="5"/>
      <c r="I62" s="4"/>
      <c r="J62" s="14"/>
      <c r="K62" s="14"/>
      <c r="L62" s="14"/>
      <c r="M62" s="5"/>
      <c r="N62" s="4"/>
      <c r="O62" s="5"/>
    </row>
    <row r="63" spans="2:15">
      <c r="B63" s="4">
        <v>56</v>
      </c>
      <c r="C63" s="4"/>
      <c r="D63" s="5"/>
      <c r="E63" s="5"/>
      <c r="F63" s="5"/>
      <c r="G63" s="5"/>
      <c r="H63" s="5"/>
      <c r="I63" s="4"/>
      <c r="J63" s="14"/>
      <c r="K63" s="14"/>
      <c r="L63" s="14"/>
      <c r="M63" s="5"/>
      <c r="N63" s="4"/>
      <c r="O63" s="5"/>
    </row>
    <row r="64" spans="2:15">
      <c r="B64" s="4">
        <v>57</v>
      </c>
      <c r="C64" s="4"/>
      <c r="D64" s="5"/>
      <c r="E64" s="5"/>
      <c r="F64" s="5"/>
      <c r="G64" s="5"/>
      <c r="H64" s="5"/>
      <c r="I64" s="4"/>
      <c r="J64" s="14"/>
      <c r="K64" s="14"/>
      <c r="L64" s="14"/>
      <c r="M64" s="5"/>
      <c r="N64" s="4"/>
      <c r="O64" s="5"/>
    </row>
    <row r="65" spans="2:15">
      <c r="B65" s="4">
        <v>58</v>
      </c>
      <c r="C65" s="4"/>
      <c r="D65" s="5"/>
      <c r="E65" s="5"/>
      <c r="F65" s="5"/>
      <c r="G65" s="5"/>
      <c r="H65" s="5"/>
      <c r="I65" s="4"/>
      <c r="J65" s="14"/>
      <c r="K65" s="14"/>
      <c r="L65" s="14"/>
      <c r="M65" s="5"/>
      <c r="N65" s="4"/>
      <c r="O65" s="5"/>
    </row>
    <row r="66" spans="2:15">
      <c r="B66" s="4">
        <v>59</v>
      </c>
      <c r="C66" s="4"/>
      <c r="D66" s="5"/>
      <c r="E66" s="5"/>
      <c r="F66" s="5"/>
      <c r="G66" s="5"/>
      <c r="H66" s="5"/>
      <c r="I66" s="4"/>
      <c r="J66" s="14"/>
      <c r="K66" s="14"/>
      <c r="L66" s="14"/>
      <c r="M66" s="5"/>
      <c r="N66" s="4"/>
      <c r="O66" s="5"/>
    </row>
    <row r="67" spans="2:15">
      <c r="B67" s="4">
        <v>60</v>
      </c>
      <c r="C67" s="4"/>
      <c r="D67" s="5"/>
      <c r="E67" s="5"/>
      <c r="F67" s="5"/>
      <c r="G67" s="5"/>
      <c r="H67" s="5"/>
      <c r="I67" s="4"/>
      <c r="J67" s="14"/>
      <c r="K67" s="14"/>
      <c r="L67" s="14"/>
      <c r="M67" s="5"/>
      <c r="N67" s="4"/>
      <c r="O67" s="5"/>
    </row>
    <row r="68" spans="2:15">
      <c r="B68" s="4">
        <v>61</v>
      </c>
      <c r="C68" s="4"/>
      <c r="D68" s="5"/>
      <c r="E68" s="5"/>
      <c r="F68" s="5"/>
      <c r="G68" s="5"/>
      <c r="H68" s="5"/>
      <c r="I68" s="4"/>
      <c r="J68" s="14"/>
      <c r="K68" s="14"/>
      <c r="L68" s="14"/>
      <c r="M68" s="5"/>
      <c r="N68" s="4"/>
      <c r="O68" s="5"/>
    </row>
    <row r="69" spans="2:15">
      <c r="B69" s="4">
        <v>62</v>
      </c>
      <c r="C69" s="4"/>
      <c r="D69" s="5"/>
      <c r="E69" s="5"/>
      <c r="F69" s="5"/>
      <c r="G69" s="5"/>
      <c r="H69" s="5"/>
      <c r="I69" s="4"/>
      <c r="J69" s="14"/>
      <c r="K69" s="14"/>
      <c r="L69" s="14"/>
      <c r="M69" s="5"/>
      <c r="N69" s="4"/>
      <c r="O69" s="5"/>
    </row>
    <row r="70" spans="2:15">
      <c r="B70" s="4">
        <v>63</v>
      </c>
      <c r="C70" s="4"/>
      <c r="D70" s="5"/>
      <c r="E70" s="5"/>
      <c r="F70" s="5"/>
      <c r="G70" s="5"/>
      <c r="H70" s="5"/>
      <c r="I70" s="4"/>
      <c r="J70" s="14"/>
      <c r="K70" s="14"/>
      <c r="L70" s="14"/>
      <c r="M70" s="5"/>
      <c r="N70" s="4"/>
      <c r="O70" s="5"/>
    </row>
    <row r="71" spans="2:15">
      <c r="B71" s="4">
        <v>64</v>
      </c>
      <c r="C71" s="4"/>
      <c r="D71" s="5"/>
      <c r="E71" s="5"/>
      <c r="F71" s="5"/>
      <c r="G71" s="5"/>
      <c r="H71" s="5"/>
      <c r="I71" s="4"/>
      <c r="J71" s="14"/>
      <c r="K71" s="14"/>
      <c r="L71" s="14"/>
      <c r="M71" s="5"/>
      <c r="N71" s="4"/>
      <c r="O71" s="5"/>
    </row>
    <row r="72" spans="2:15">
      <c r="B72" s="4">
        <v>65</v>
      </c>
      <c r="C72" s="4"/>
      <c r="D72" s="5"/>
      <c r="E72" s="5"/>
      <c r="F72" s="5"/>
      <c r="G72" s="5"/>
      <c r="H72" s="5"/>
      <c r="I72" s="4"/>
      <c r="J72" s="14"/>
      <c r="K72" s="14"/>
      <c r="L72" s="14"/>
      <c r="M72" s="5"/>
      <c r="N72" s="4"/>
      <c r="O72" s="5"/>
    </row>
    <row r="73" spans="2:15">
      <c r="B73" s="4">
        <v>66</v>
      </c>
      <c r="C73" s="4"/>
      <c r="D73" s="5"/>
      <c r="E73" s="5"/>
      <c r="F73" s="5"/>
      <c r="G73" s="5"/>
      <c r="H73" s="5"/>
      <c r="I73" s="4"/>
      <c r="J73" s="14"/>
      <c r="K73" s="14"/>
      <c r="L73" s="14"/>
      <c r="M73" s="5"/>
      <c r="N73" s="4"/>
      <c r="O73" s="5"/>
    </row>
    <row r="74" spans="2:15">
      <c r="B74" s="4">
        <v>67</v>
      </c>
      <c r="C74" s="4"/>
      <c r="D74" s="5"/>
      <c r="E74" s="5"/>
      <c r="F74" s="5"/>
      <c r="G74" s="5"/>
      <c r="H74" s="5"/>
      <c r="I74" s="4"/>
      <c r="J74" s="14"/>
      <c r="K74" s="14"/>
      <c r="L74" s="14"/>
      <c r="M74" s="5"/>
      <c r="N74" s="4"/>
      <c r="O74" s="5"/>
    </row>
    <row r="75" spans="2:15">
      <c r="B75" s="4">
        <v>68</v>
      </c>
      <c r="C75" s="4"/>
      <c r="D75" s="5"/>
      <c r="E75" s="5"/>
      <c r="F75" s="5"/>
      <c r="G75" s="5"/>
      <c r="H75" s="5"/>
      <c r="I75" s="4"/>
      <c r="J75" s="13"/>
      <c r="K75" s="13"/>
      <c r="L75" s="13"/>
      <c r="M75" s="5"/>
      <c r="N75" s="4"/>
      <c r="O75" s="5"/>
    </row>
    <row r="76" spans="2:15">
      <c r="B76" s="4">
        <v>69</v>
      </c>
      <c r="C76" s="4"/>
      <c r="D76" s="5"/>
      <c r="E76" s="5"/>
      <c r="F76" s="5"/>
      <c r="G76" s="5"/>
      <c r="H76" s="5"/>
      <c r="I76" s="4"/>
      <c r="J76" s="13"/>
      <c r="K76" s="13"/>
      <c r="L76" s="13"/>
      <c r="M76" s="5"/>
      <c r="N76" s="4"/>
      <c r="O76" s="5"/>
    </row>
    <row r="77" spans="2:15">
      <c r="B77" s="4">
        <v>70</v>
      </c>
      <c r="C77" s="4"/>
      <c r="D77" s="5"/>
      <c r="E77" s="5"/>
      <c r="F77" s="5"/>
      <c r="G77" s="5"/>
      <c r="H77" s="5"/>
      <c r="I77" s="4"/>
      <c r="J77" s="13"/>
      <c r="K77" s="13"/>
      <c r="L77" s="13"/>
      <c r="M77" s="5"/>
      <c r="N77" s="4"/>
      <c r="O77" s="5"/>
    </row>
    <row r="78" spans="2:15">
      <c r="B78" s="4">
        <v>71</v>
      </c>
      <c r="C78" s="4"/>
      <c r="D78" s="5"/>
      <c r="E78" s="5"/>
      <c r="F78" s="5"/>
      <c r="G78" s="5"/>
      <c r="H78" s="5"/>
      <c r="I78" s="4"/>
      <c r="J78" s="13"/>
      <c r="K78" s="13"/>
      <c r="L78" s="13"/>
      <c r="M78" s="5"/>
      <c r="N78" s="4"/>
      <c r="O78" s="5"/>
    </row>
    <row r="79" spans="2:15">
      <c r="B79" s="4">
        <v>72</v>
      </c>
      <c r="C79" s="4"/>
      <c r="D79" s="5"/>
      <c r="E79" s="5"/>
      <c r="F79" s="5"/>
      <c r="G79" s="5"/>
      <c r="H79" s="5"/>
      <c r="I79" s="4"/>
      <c r="J79" s="13"/>
      <c r="K79" s="13"/>
      <c r="L79" s="13"/>
      <c r="M79" s="5"/>
      <c r="N79" s="4"/>
      <c r="O79" s="5"/>
    </row>
    <row r="80" spans="2:15">
      <c r="B80" s="4">
        <v>73</v>
      </c>
      <c r="C80" s="4"/>
      <c r="D80" s="5"/>
      <c r="E80" s="5"/>
      <c r="F80" s="5"/>
      <c r="G80" s="5"/>
      <c r="H80" s="5"/>
      <c r="I80" s="4"/>
      <c r="J80" s="13"/>
      <c r="K80" s="13"/>
      <c r="L80" s="13"/>
      <c r="M80" s="5"/>
      <c r="N80" s="4"/>
      <c r="O80" s="5"/>
    </row>
    <row r="81" spans="2:15">
      <c r="B81" s="4">
        <v>74</v>
      </c>
      <c r="C81" s="4"/>
      <c r="D81" s="5"/>
      <c r="E81" s="5"/>
      <c r="F81" s="5"/>
      <c r="G81" s="5"/>
      <c r="H81" s="5"/>
      <c r="I81" s="4"/>
      <c r="J81" s="13"/>
      <c r="K81" s="13"/>
      <c r="L81" s="13"/>
      <c r="M81" s="5"/>
      <c r="N81" s="4"/>
      <c r="O81" s="5"/>
    </row>
    <row r="82" spans="2:15">
      <c r="B82" s="4">
        <v>75</v>
      </c>
      <c r="C82" s="4"/>
      <c r="D82" s="5"/>
      <c r="E82" s="5"/>
      <c r="F82" s="5"/>
      <c r="G82" s="5"/>
      <c r="H82" s="5"/>
      <c r="I82" s="4"/>
      <c r="J82" s="13"/>
      <c r="K82" s="13"/>
      <c r="L82" s="13"/>
      <c r="M82" s="5"/>
      <c r="N82" s="4"/>
      <c r="O82" s="5"/>
    </row>
    <row r="83" spans="2:15">
      <c r="B83" s="4">
        <v>76</v>
      </c>
      <c r="C83" s="4"/>
      <c r="D83" s="5"/>
      <c r="E83" s="5"/>
      <c r="F83" s="5"/>
      <c r="G83" s="5"/>
      <c r="H83" s="5"/>
      <c r="I83" s="4"/>
      <c r="J83" s="13"/>
      <c r="K83" s="13"/>
      <c r="L83" s="13"/>
      <c r="M83" s="5"/>
      <c r="N83" s="4"/>
      <c r="O83" s="5"/>
    </row>
    <row r="84" spans="2:15">
      <c r="B84" s="4">
        <v>77</v>
      </c>
      <c r="C84" s="4"/>
      <c r="D84" s="5"/>
      <c r="E84" s="5"/>
      <c r="F84" s="5"/>
      <c r="G84" s="5"/>
      <c r="H84" s="5"/>
      <c r="I84" s="4"/>
      <c r="J84" s="13"/>
      <c r="K84" s="13"/>
      <c r="L84" s="13"/>
      <c r="M84" s="5"/>
      <c r="N84" s="4"/>
      <c r="O84" s="5"/>
    </row>
    <row r="85" spans="2:15">
      <c r="B85" s="4">
        <v>78</v>
      </c>
      <c r="C85" s="4"/>
      <c r="D85" s="5"/>
      <c r="E85" s="5"/>
      <c r="F85" s="5"/>
      <c r="G85" s="5"/>
      <c r="H85" s="5"/>
      <c r="I85" s="4"/>
      <c r="J85" s="13"/>
      <c r="K85" s="13"/>
      <c r="L85" s="13"/>
      <c r="M85" s="5"/>
      <c r="N85" s="4"/>
      <c r="O85" s="5"/>
    </row>
    <row r="86" spans="2:15">
      <c r="B86" s="4">
        <v>79</v>
      </c>
      <c r="C86" s="4"/>
      <c r="D86" s="5"/>
      <c r="E86" s="5"/>
      <c r="F86" s="5"/>
      <c r="G86" s="5"/>
      <c r="H86" s="5"/>
      <c r="I86" s="4"/>
      <c r="J86" s="13"/>
      <c r="K86" s="13"/>
      <c r="L86" s="13"/>
      <c r="M86" s="5"/>
      <c r="N86" s="4"/>
      <c r="O86" s="5"/>
    </row>
    <row r="87" spans="2:15">
      <c r="B87" s="4">
        <v>80</v>
      </c>
      <c r="C87" s="4"/>
      <c r="D87" s="5"/>
      <c r="E87" s="5"/>
      <c r="F87" s="5"/>
      <c r="G87" s="5"/>
      <c r="H87" s="5"/>
      <c r="I87" s="4"/>
      <c r="J87" s="13"/>
      <c r="K87" s="13"/>
      <c r="L87" s="13"/>
      <c r="M87" s="5"/>
      <c r="N87" s="4"/>
      <c r="O87" s="5"/>
    </row>
    <row r="88" spans="2:15">
      <c r="B88" s="4">
        <v>81</v>
      </c>
      <c r="C88" s="4"/>
      <c r="D88" s="5"/>
      <c r="E88" s="5"/>
      <c r="F88" s="5"/>
      <c r="G88" s="5"/>
      <c r="H88" s="5"/>
      <c r="I88" s="4"/>
      <c r="J88" s="13"/>
      <c r="K88" s="13"/>
      <c r="L88" s="13"/>
      <c r="M88" s="5"/>
      <c r="N88" s="4"/>
      <c r="O88" s="5"/>
    </row>
    <row r="89" spans="2:15">
      <c r="B89" s="4">
        <v>82</v>
      </c>
      <c r="C89" s="4"/>
      <c r="D89" s="5"/>
      <c r="E89" s="5"/>
      <c r="F89" s="5"/>
      <c r="G89" s="5"/>
      <c r="H89" s="5"/>
      <c r="I89" s="4"/>
      <c r="J89" s="13"/>
      <c r="K89" s="13"/>
      <c r="L89" s="13"/>
      <c r="M89" s="5"/>
      <c r="N89" s="4"/>
      <c r="O89" s="5"/>
    </row>
    <row r="90" spans="2:15">
      <c r="B90" s="4">
        <v>83</v>
      </c>
      <c r="C90" s="4"/>
      <c r="D90" s="5"/>
      <c r="E90" s="5"/>
      <c r="F90" s="5"/>
      <c r="G90" s="5"/>
      <c r="H90" s="5"/>
      <c r="I90" s="4"/>
      <c r="J90" s="13"/>
      <c r="K90" s="13"/>
      <c r="L90" s="13"/>
      <c r="M90" s="5"/>
      <c r="N90" s="4"/>
      <c r="O90" s="5"/>
    </row>
    <row r="91" spans="2:15">
      <c r="B91" s="4">
        <v>84</v>
      </c>
      <c r="C91" s="4"/>
      <c r="D91" s="5"/>
      <c r="E91" s="5"/>
      <c r="F91" s="5"/>
      <c r="G91" s="5"/>
      <c r="H91" s="5"/>
      <c r="I91" s="4"/>
      <c r="J91" s="13"/>
      <c r="K91" s="13"/>
      <c r="L91" s="13"/>
      <c r="M91" s="5"/>
      <c r="N91" s="4"/>
      <c r="O91" s="5"/>
    </row>
    <row r="92" spans="2:15">
      <c r="B92" s="4">
        <v>85</v>
      </c>
      <c r="C92" s="4"/>
      <c r="D92" s="5"/>
      <c r="E92" s="5"/>
      <c r="F92" s="5"/>
      <c r="G92" s="5"/>
      <c r="H92" s="5"/>
      <c r="I92" s="4"/>
      <c r="J92" s="13"/>
      <c r="K92" s="13"/>
      <c r="L92" s="13"/>
      <c r="M92" s="5"/>
      <c r="N92" s="4"/>
      <c r="O92" s="5"/>
    </row>
    <row r="93" spans="2:15">
      <c r="B93" s="4">
        <v>86</v>
      </c>
      <c r="C93" s="4"/>
      <c r="D93" s="5"/>
      <c r="E93" s="5"/>
      <c r="F93" s="5"/>
      <c r="G93" s="5"/>
      <c r="H93" s="5"/>
      <c r="I93" s="4"/>
      <c r="J93" s="13"/>
      <c r="K93" s="13"/>
      <c r="L93" s="13"/>
      <c r="M93" s="5"/>
      <c r="N93" s="4"/>
      <c r="O93" s="5"/>
    </row>
    <row r="94" spans="2:15">
      <c r="B94" s="4">
        <v>87</v>
      </c>
      <c r="C94" s="4"/>
      <c r="D94" s="5"/>
      <c r="E94" s="5"/>
      <c r="F94" s="5"/>
      <c r="G94" s="5"/>
      <c r="H94" s="5"/>
      <c r="I94" s="4"/>
      <c r="J94" s="13"/>
      <c r="K94" s="13"/>
      <c r="L94" s="13"/>
      <c r="M94" s="5"/>
      <c r="N94" s="4"/>
      <c r="O94" s="5"/>
    </row>
    <row r="95" spans="2:15">
      <c r="B95" s="4">
        <v>88</v>
      </c>
      <c r="C95" s="4"/>
      <c r="D95" s="5"/>
      <c r="E95" s="5"/>
      <c r="F95" s="5"/>
      <c r="G95" s="5"/>
      <c r="H95" s="5"/>
      <c r="I95" s="4"/>
      <c r="J95" s="13"/>
      <c r="K95" s="13"/>
      <c r="L95" s="13"/>
      <c r="M95" s="5"/>
      <c r="N95" s="4"/>
      <c r="O95" s="5"/>
    </row>
    <row r="96" spans="2:15">
      <c r="B96" s="4">
        <v>89</v>
      </c>
      <c r="C96" s="4"/>
      <c r="D96" s="5"/>
      <c r="E96" s="5"/>
      <c r="F96" s="5"/>
      <c r="G96" s="5"/>
      <c r="H96" s="5"/>
      <c r="I96" s="4"/>
      <c r="J96" s="13"/>
      <c r="K96" s="13"/>
      <c r="L96" s="13"/>
      <c r="M96" s="5"/>
      <c r="N96" s="4"/>
      <c r="O96" s="5"/>
    </row>
    <row r="97" spans="2:15">
      <c r="B97" s="4">
        <v>90</v>
      </c>
      <c r="C97" s="4"/>
      <c r="D97" s="5"/>
      <c r="E97" s="5"/>
      <c r="F97" s="5"/>
      <c r="G97" s="5"/>
      <c r="H97" s="5"/>
      <c r="I97" s="4"/>
      <c r="J97" s="13"/>
      <c r="K97" s="13"/>
      <c r="L97" s="13"/>
      <c r="M97" s="5"/>
      <c r="N97" s="4"/>
      <c r="O97" s="5"/>
    </row>
    <row r="98" spans="2:15">
      <c r="B98" s="4">
        <v>91</v>
      </c>
      <c r="C98" s="4"/>
      <c r="D98" s="5"/>
      <c r="E98" s="5"/>
      <c r="F98" s="5"/>
      <c r="G98" s="5"/>
      <c r="H98" s="5"/>
      <c r="I98" s="4"/>
      <c r="J98" s="13"/>
      <c r="K98" s="13"/>
      <c r="L98" s="13"/>
      <c r="M98" s="5"/>
      <c r="N98" s="4"/>
      <c r="O98" s="5"/>
    </row>
    <row r="99" spans="2:15">
      <c r="B99" s="4">
        <v>92</v>
      </c>
      <c r="C99" s="4"/>
      <c r="D99" s="5"/>
      <c r="E99" s="5"/>
      <c r="F99" s="5"/>
      <c r="G99" s="5"/>
      <c r="H99" s="5"/>
      <c r="I99" s="4"/>
      <c r="J99" s="13"/>
      <c r="K99" s="13"/>
      <c r="L99" s="13"/>
      <c r="M99" s="5"/>
      <c r="N99" s="4"/>
      <c r="O99" s="5"/>
    </row>
    <row r="100" spans="2:15">
      <c r="B100" s="4">
        <v>93</v>
      </c>
      <c r="C100" s="4"/>
      <c r="D100" s="5"/>
      <c r="E100" s="5"/>
      <c r="F100" s="5"/>
      <c r="G100" s="5"/>
      <c r="H100" s="5"/>
      <c r="I100" s="4"/>
      <c r="J100" s="13"/>
      <c r="K100" s="13"/>
      <c r="L100" s="13"/>
      <c r="M100" s="5"/>
      <c r="N100" s="4"/>
      <c r="O100" s="5"/>
    </row>
    <row r="101" spans="2:15">
      <c r="B101" s="4">
        <v>94</v>
      </c>
      <c r="C101" s="4"/>
      <c r="D101" s="5"/>
      <c r="E101" s="5"/>
      <c r="F101" s="5"/>
      <c r="G101" s="5"/>
      <c r="H101" s="5"/>
      <c r="I101" s="4"/>
      <c r="J101" s="13"/>
      <c r="K101" s="13"/>
      <c r="L101" s="13"/>
      <c r="M101" s="5"/>
      <c r="N101" s="4"/>
      <c r="O101" s="5"/>
    </row>
    <row r="102" spans="2:15">
      <c r="B102" s="4">
        <v>95</v>
      </c>
      <c r="C102" s="4"/>
      <c r="D102" s="5"/>
      <c r="E102" s="5"/>
      <c r="F102" s="5"/>
      <c r="G102" s="5"/>
      <c r="H102" s="5"/>
      <c r="I102" s="4"/>
      <c r="J102" s="13"/>
      <c r="K102" s="13"/>
      <c r="L102" s="13"/>
      <c r="M102" s="5"/>
      <c r="N102" s="4"/>
      <c r="O102" s="5"/>
    </row>
    <row r="103" spans="2:15">
      <c r="B103" s="4">
        <v>96</v>
      </c>
      <c r="C103" s="4"/>
      <c r="D103" s="5"/>
      <c r="E103" s="5"/>
      <c r="F103" s="5"/>
      <c r="G103" s="5"/>
      <c r="H103" s="5"/>
      <c r="I103" s="4"/>
      <c r="J103" s="13"/>
      <c r="K103" s="13"/>
      <c r="L103" s="13"/>
      <c r="M103" s="5"/>
      <c r="N103" s="4"/>
      <c r="O103" s="5"/>
    </row>
    <row r="104" spans="2:15">
      <c r="B104" s="4">
        <v>97</v>
      </c>
      <c r="C104" s="4"/>
      <c r="D104" s="5"/>
      <c r="E104" s="5"/>
      <c r="F104" s="5"/>
      <c r="G104" s="5"/>
      <c r="H104" s="5"/>
      <c r="I104" s="4"/>
      <c r="J104" s="13"/>
      <c r="K104" s="13"/>
      <c r="L104" s="13"/>
      <c r="M104" s="5"/>
      <c r="N104" s="4"/>
      <c r="O104" s="5"/>
    </row>
    <row r="105" spans="2:15">
      <c r="B105" s="4">
        <v>98</v>
      </c>
      <c r="C105" s="4"/>
      <c r="D105" s="5"/>
      <c r="E105" s="5"/>
      <c r="F105" s="5"/>
      <c r="G105" s="5"/>
      <c r="H105" s="5"/>
      <c r="I105" s="4"/>
      <c r="J105" s="13"/>
      <c r="K105" s="13"/>
      <c r="L105" s="13"/>
      <c r="M105" s="5"/>
      <c r="N105" s="4"/>
      <c r="O105" s="5"/>
    </row>
    <row r="106" spans="2:15">
      <c r="B106" s="4">
        <v>99</v>
      </c>
      <c r="C106" s="4"/>
      <c r="D106" s="5"/>
      <c r="E106" s="5"/>
      <c r="F106" s="5"/>
      <c r="G106" s="5"/>
      <c r="H106" s="5"/>
      <c r="I106" s="4"/>
      <c r="J106" s="13"/>
      <c r="K106" s="13"/>
      <c r="L106" s="13"/>
      <c r="M106" s="5"/>
      <c r="N106" s="4"/>
      <c r="O106" s="5"/>
    </row>
    <row r="107" spans="2:15">
      <c r="B107" s="4">
        <v>100</v>
      </c>
      <c r="C107" s="4"/>
      <c r="D107" s="5"/>
      <c r="E107" s="5"/>
      <c r="F107" s="5"/>
      <c r="G107" s="5"/>
      <c r="H107" s="5"/>
      <c r="I107" s="4"/>
      <c r="J107" s="4"/>
      <c r="K107" s="4"/>
      <c r="L107" s="4"/>
      <c r="M107" s="5"/>
      <c r="N107" s="4"/>
      <c r="O107" s="5"/>
    </row>
    <row r="108" spans="2:15">
      <c r="B108" s="4">
        <v>101</v>
      </c>
      <c r="C108" s="4"/>
      <c r="D108" s="5"/>
      <c r="E108" s="5"/>
      <c r="F108" s="5"/>
      <c r="G108" s="5"/>
      <c r="H108" s="5"/>
      <c r="I108" s="4"/>
      <c r="J108" s="4"/>
      <c r="K108" s="4"/>
      <c r="L108" s="4"/>
      <c r="M108" s="5"/>
      <c r="N108" s="4"/>
      <c r="O108" s="5"/>
    </row>
    <row r="109" spans="2:15">
      <c r="B109" s="4">
        <v>102</v>
      </c>
      <c r="C109" s="4"/>
      <c r="D109" s="5"/>
      <c r="E109" s="5"/>
      <c r="F109" s="5"/>
      <c r="G109" s="5"/>
      <c r="H109" s="5"/>
      <c r="I109" s="4"/>
      <c r="J109" s="4"/>
      <c r="K109" s="4"/>
      <c r="L109" s="4"/>
      <c r="M109" s="5"/>
      <c r="N109" s="4"/>
      <c r="O109" s="5"/>
    </row>
    <row r="110" spans="2:15">
      <c r="B110" s="4">
        <v>103</v>
      </c>
      <c r="C110" s="4"/>
      <c r="D110" s="5"/>
      <c r="E110" s="5"/>
      <c r="F110" s="5"/>
      <c r="G110" s="5"/>
      <c r="H110" s="5"/>
      <c r="I110" s="4"/>
      <c r="J110" s="4"/>
      <c r="K110" s="4"/>
      <c r="L110" s="4"/>
      <c r="M110" s="5"/>
      <c r="N110" s="4"/>
      <c r="O110" s="5"/>
    </row>
    <row r="111" spans="2:15">
      <c r="B111" s="4">
        <v>104</v>
      </c>
      <c r="C111" s="4"/>
      <c r="D111" s="5"/>
      <c r="E111" s="5"/>
      <c r="F111" s="5"/>
      <c r="G111" s="5"/>
      <c r="H111" s="5"/>
      <c r="I111" s="4"/>
      <c r="J111" s="4"/>
      <c r="K111" s="4"/>
      <c r="L111" s="4"/>
      <c r="M111" s="5"/>
      <c r="N111" s="4"/>
      <c r="O111" s="5"/>
    </row>
    <row r="112" spans="2:15">
      <c r="B112" s="4">
        <v>105</v>
      </c>
      <c r="C112" s="4"/>
      <c r="D112" s="5"/>
      <c r="E112" s="5"/>
      <c r="F112" s="5"/>
      <c r="G112" s="5"/>
      <c r="H112" s="5"/>
      <c r="I112" s="4"/>
      <c r="J112" s="4"/>
      <c r="K112" s="4"/>
      <c r="L112" s="4"/>
      <c r="M112" s="5"/>
      <c r="N112" s="4"/>
      <c r="O112" s="5"/>
    </row>
    <row r="113" spans="2:15">
      <c r="B113" s="4">
        <v>106</v>
      </c>
      <c r="C113" s="4"/>
      <c r="D113" s="5"/>
      <c r="E113" s="5"/>
      <c r="F113" s="5"/>
      <c r="G113" s="5"/>
      <c r="H113" s="5"/>
      <c r="I113" s="4"/>
      <c r="J113" s="4"/>
      <c r="K113" s="4"/>
      <c r="L113" s="4"/>
      <c r="M113" s="5"/>
      <c r="N113" s="4"/>
      <c r="O113" s="5"/>
    </row>
    <row r="114" spans="2:15">
      <c r="B114" s="4">
        <v>107</v>
      </c>
      <c r="C114" s="4"/>
      <c r="D114" s="5"/>
      <c r="E114" s="5"/>
      <c r="F114" s="5"/>
      <c r="G114" s="5"/>
      <c r="H114" s="5"/>
      <c r="I114" s="4"/>
      <c r="J114" s="4"/>
      <c r="K114" s="4"/>
      <c r="L114" s="4"/>
      <c r="M114" s="5"/>
      <c r="N114" s="4"/>
      <c r="O114" s="5"/>
    </row>
    <row r="115" spans="2:15">
      <c r="B115" s="4">
        <v>108</v>
      </c>
      <c r="C115" s="4"/>
      <c r="D115" s="5"/>
      <c r="E115" s="5"/>
      <c r="F115" s="5"/>
      <c r="G115" s="5"/>
      <c r="H115" s="5"/>
      <c r="I115" s="4"/>
      <c r="J115" s="4"/>
      <c r="K115" s="4"/>
      <c r="L115" s="4"/>
      <c r="M115" s="5"/>
      <c r="N115" s="4"/>
      <c r="O115" s="5"/>
    </row>
    <row r="116" spans="2:15">
      <c r="B116" s="4">
        <v>109</v>
      </c>
      <c r="C116" s="4"/>
      <c r="D116" s="5"/>
      <c r="E116" s="5"/>
      <c r="F116" s="5"/>
      <c r="G116" s="5"/>
      <c r="H116" s="5"/>
      <c r="I116" s="4"/>
      <c r="J116" s="4"/>
      <c r="K116" s="4"/>
      <c r="L116" s="4"/>
      <c r="M116" s="5"/>
      <c r="N116" s="4"/>
      <c r="O116" s="5"/>
    </row>
    <row r="117" spans="2:15">
      <c r="B117" s="4">
        <v>110</v>
      </c>
      <c r="C117" s="4"/>
      <c r="D117" s="5"/>
      <c r="E117" s="5"/>
      <c r="F117" s="5"/>
      <c r="G117" s="5"/>
      <c r="H117" s="5"/>
      <c r="I117" s="4"/>
      <c r="J117" s="4"/>
      <c r="K117" s="4"/>
      <c r="L117" s="4"/>
      <c r="M117" s="5"/>
      <c r="N117" s="4"/>
      <c r="O117" s="5"/>
    </row>
    <row r="118" spans="2:15">
      <c r="B118" s="4">
        <v>111</v>
      </c>
      <c r="C118" s="4"/>
      <c r="D118" s="5"/>
      <c r="E118" s="5"/>
      <c r="F118" s="5"/>
      <c r="G118" s="5"/>
      <c r="H118" s="5"/>
      <c r="I118" s="4"/>
      <c r="J118" s="4"/>
      <c r="K118" s="4"/>
      <c r="L118" s="4"/>
      <c r="M118" s="5"/>
      <c r="N118" s="4"/>
      <c r="O118" s="5"/>
    </row>
    <row r="119" spans="2:15">
      <c r="B119" s="4">
        <v>112</v>
      </c>
      <c r="C119" s="4"/>
      <c r="D119" s="5"/>
      <c r="E119" s="5"/>
      <c r="F119" s="5"/>
      <c r="G119" s="5"/>
      <c r="H119" s="5"/>
      <c r="I119" s="4"/>
      <c r="J119" s="4"/>
      <c r="K119" s="4"/>
      <c r="L119" s="4"/>
      <c r="M119" s="5"/>
      <c r="N119" s="4"/>
      <c r="O119" s="5"/>
    </row>
    <row r="120" spans="2:15">
      <c r="B120" s="4">
        <v>113</v>
      </c>
      <c r="C120" s="4"/>
      <c r="D120" s="5"/>
      <c r="E120" s="5"/>
      <c r="F120" s="5"/>
      <c r="G120" s="5"/>
      <c r="H120" s="5"/>
      <c r="I120" s="4"/>
      <c r="J120" s="4"/>
      <c r="K120" s="4"/>
      <c r="L120" s="4"/>
      <c r="M120" s="5"/>
      <c r="N120" s="4"/>
      <c r="O120" s="5"/>
    </row>
    <row r="121" spans="2:15">
      <c r="B121" s="4">
        <v>114</v>
      </c>
      <c r="C121" s="4"/>
      <c r="D121" s="5"/>
      <c r="E121" s="5"/>
      <c r="F121" s="5"/>
      <c r="G121" s="5"/>
      <c r="H121" s="5"/>
      <c r="I121" s="4"/>
      <c r="J121" s="4"/>
      <c r="K121" s="4"/>
      <c r="L121" s="4"/>
      <c r="M121" s="5"/>
      <c r="N121" s="4"/>
      <c r="O121" s="5"/>
    </row>
    <row r="122" spans="2:15">
      <c r="B122" s="4">
        <v>115</v>
      </c>
      <c r="C122" s="4"/>
      <c r="D122" s="5"/>
      <c r="E122" s="5"/>
      <c r="F122" s="5"/>
      <c r="G122" s="5"/>
      <c r="H122" s="5"/>
      <c r="I122" s="4"/>
      <c r="J122" s="4"/>
      <c r="K122" s="4"/>
      <c r="L122" s="4"/>
      <c r="M122" s="5"/>
      <c r="N122" s="4"/>
      <c r="O122" s="5"/>
    </row>
    <row r="123" spans="2:15">
      <c r="B123" s="4">
        <v>116</v>
      </c>
      <c r="C123" s="4"/>
      <c r="D123" s="5"/>
      <c r="E123" s="5"/>
      <c r="F123" s="5"/>
      <c r="G123" s="5"/>
      <c r="H123" s="5"/>
      <c r="I123" s="4"/>
      <c r="J123" s="4"/>
      <c r="K123" s="4"/>
      <c r="L123" s="4"/>
      <c r="M123" s="5"/>
      <c r="N123" s="4"/>
      <c r="O123" s="5"/>
    </row>
    <row r="124" spans="2:15">
      <c r="B124" s="4">
        <v>117</v>
      </c>
      <c r="C124" s="4"/>
      <c r="D124" s="5"/>
      <c r="E124" s="5"/>
      <c r="F124" s="5"/>
      <c r="G124" s="5"/>
      <c r="H124" s="5"/>
      <c r="I124" s="4"/>
      <c r="J124" s="4"/>
      <c r="K124" s="4"/>
      <c r="L124" s="4"/>
      <c r="M124" s="5"/>
      <c r="N124" s="4"/>
      <c r="O124" s="5"/>
    </row>
    <row r="125" spans="2:15">
      <c r="B125" s="4">
        <v>118</v>
      </c>
      <c r="C125" s="4"/>
      <c r="D125" s="5"/>
      <c r="E125" s="5"/>
      <c r="F125" s="5"/>
      <c r="G125" s="5"/>
      <c r="H125" s="5"/>
      <c r="I125" s="4"/>
      <c r="J125" s="4"/>
      <c r="K125" s="4"/>
      <c r="L125" s="4"/>
      <c r="M125" s="5"/>
      <c r="N125" s="4"/>
      <c r="O125" s="5"/>
    </row>
    <row r="126" spans="2:15">
      <c r="B126" s="4">
        <v>119</v>
      </c>
      <c r="C126" s="4"/>
      <c r="D126" s="5"/>
      <c r="E126" s="5"/>
      <c r="F126" s="5"/>
      <c r="G126" s="5"/>
      <c r="H126" s="5"/>
      <c r="I126" s="4"/>
      <c r="J126" s="4"/>
      <c r="K126" s="4"/>
      <c r="L126" s="4"/>
      <c r="M126" s="5"/>
      <c r="N126" s="4"/>
      <c r="O126" s="5"/>
    </row>
    <row r="127" spans="2:15">
      <c r="B127" s="4">
        <v>120</v>
      </c>
      <c r="C127" s="4"/>
      <c r="D127" s="5"/>
      <c r="E127" s="5"/>
      <c r="F127" s="5"/>
      <c r="G127" s="5"/>
      <c r="H127" s="5"/>
      <c r="I127" s="4"/>
      <c r="J127" s="4"/>
      <c r="K127" s="4"/>
      <c r="L127" s="4"/>
      <c r="M127" s="5"/>
      <c r="N127" s="4"/>
      <c r="O127" s="5"/>
    </row>
    <row r="128" spans="2:15">
      <c r="B128" s="4">
        <v>121</v>
      </c>
      <c r="C128" s="4"/>
      <c r="D128" s="5"/>
      <c r="E128" s="5"/>
      <c r="F128" s="5"/>
      <c r="G128" s="5"/>
      <c r="H128" s="5"/>
      <c r="I128" s="4"/>
      <c r="J128" s="4"/>
      <c r="K128" s="4"/>
      <c r="L128" s="4"/>
      <c r="M128" s="5"/>
      <c r="N128" s="4"/>
      <c r="O128" s="5"/>
    </row>
    <row r="129" spans="2:15">
      <c r="B129" s="4">
        <v>122</v>
      </c>
      <c r="C129" s="4"/>
      <c r="D129" s="5"/>
      <c r="E129" s="5"/>
      <c r="F129" s="5"/>
      <c r="G129" s="5"/>
      <c r="H129" s="5"/>
      <c r="I129" s="4"/>
      <c r="J129" s="4"/>
      <c r="K129" s="4"/>
      <c r="L129" s="4"/>
      <c r="M129" s="5"/>
      <c r="N129" s="4"/>
      <c r="O129" s="5"/>
    </row>
    <row r="130" spans="2:15">
      <c r="B130" s="4">
        <v>123</v>
      </c>
      <c r="C130" s="4"/>
      <c r="D130" s="5"/>
      <c r="E130" s="5"/>
      <c r="F130" s="5"/>
      <c r="G130" s="5"/>
      <c r="H130" s="5"/>
      <c r="I130" s="4"/>
      <c r="J130" s="4"/>
      <c r="K130" s="4"/>
      <c r="L130" s="4"/>
      <c r="M130" s="5"/>
      <c r="N130" s="4"/>
      <c r="O130" s="5"/>
    </row>
    <row r="131" spans="2:15">
      <c r="B131" s="4">
        <v>124</v>
      </c>
      <c r="C131" s="4"/>
      <c r="D131" s="5"/>
      <c r="E131" s="5"/>
      <c r="F131" s="5"/>
      <c r="G131" s="5"/>
      <c r="H131" s="5"/>
      <c r="I131" s="4"/>
      <c r="J131" s="4"/>
      <c r="K131" s="4"/>
      <c r="L131" s="4"/>
      <c r="M131" s="5"/>
      <c r="N131" s="4"/>
      <c r="O131" s="5"/>
    </row>
    <row r="132" spans="2:15">
      <c r="B132" s="4">
        <v>125</v>
      </c>
      <c r="C132" s="4"/>
      <c r="D132" s="5"/>
      <c r="E132" s="5"/>
      <c r="F132" s="5"/>
      <c r="G132" s="5"/>
      <c r="H132" s="5"/>
      <c r="I132" s="4"/>
      <c r="J132" s="4"/>
      <c r="K132" s="4"/>
      <c r="L132" s="4"/>
      <c r="M132" s="5"/>
      <c r="N132" s="4"/>
      <c r="O132" s="5"/>
    </row>
    <row r="133" spans="2:15">
      <c r="B133" s="4">
        <v>126</v>
      </c>
      <c r="C133" s="4"/>
      <c r="D133" s="5"/>
      <c r="E133" s="5"/>
      <c r="F133" s="5"/>
      <c r="G133" s="5"/>
      <c r="H133" s="5"/>
      <c r="I133" s="4"/>
      <c r="J133" s="4"/>
      <c r="K133" s="4"/>
      <c r="L133" s="4"/>
      <c r="M133" s="5"/>
      <c r="N133" s="4"/>
      <c r="O133" s="5"/>
    </row>
    <row r="134" spans="2:15">
      <c r="B134" s="4">
        <v>127</v>
      </c>
      <c r="C134" s="4"/>
      <c r="D134" s="5"/>
      <c r="E134" s="5"/>
      <c r="F134" s="5"/>
      <c r="G134" s="5"/>
      <c r="H134" s="5"/>
      <c r="I134" s="4"/>
      <c r="J134" s="4"/>
      <c r="K134" s="4"/>
      <c r="L134" s="4"/>
      <c r="M134" s="5"/>
      <c r="N134" s="4"/>
      <c r="O134" s="5"/>
    </row>
    <row r="135" spans="2:15">
      <c r="B135" s="4">
        <v>128</v>
      </c>
      <c r="C135" s="4"/>
      <c r="D135" s="5"/>
      <c r="E135" s="5"/>
      <c r="F135" s="5"/>
      <c r="G135" s="5"/>
      <c r="H135" s="5"/>
      <c r="I135" s="4"/>
      <c r="J135" s="4"/>
      <c r="K135" s="4"/>
      <c r="L135" s="4"/>
      <c r="M135" s="5"/>
      <c r="N135" s="4"/>
      <c r="O135" s="5"/>
    </row>
    <row r="136" spans="2:15">
      <c r="B136" s="4">
        <v>129</v>
      </c>
      <c r="C136" s="4"/>
      <c r="D136" s="5"/>
      <c r="E136" s="5"/>
      <c r="F136" s="5"/>
      <c r="G136" s="5"/>
      <c r="H136" s="5"/>
      <c r="I136" s="4"/>
      <c r="J136" s="4"/>
      <c r="K136" s="4"/>
      <c r="L136" s="4"/>
      <c r="M136" s="5"/>
      <c r="N136" s="4"/>
      <c r="O136" s="5"/>
    </row>
  </sheetData>
  <mergeCells count="1">
    <mergeCell ref="B6:O6"/>
  </mergeCells>
  <conditionalFormatting sqref="C9">
    <cfRule type="duplicateValues" dxfId="30" priority="12"/>
    <cfRule type="duplicateValues" dxfId="29" priority="13"/>
  </conditionalFormatting>
  <conditionalFormatting sqref="C10">
    <cfRule type="duplicateValues" dxfId="28" priority="10"/>
    <cfRule type="duplicateValues" dxfId="27" priority="11"/>
  </conditionalFormatting>
  <conditionalFormatting sqref="C11">
    <cfRule type="duplicateValues" dxfId="26" priority="8"/>
    <cfRule type="duplicateValues" dxfId="25" priority="9"/>
  </conditionalFormatting>
  <conditionalFormatting sqref="C12">
    <cfRule type="duplicateValues" dxfId="24" priority="6"/>
    <cfRule type="duplicateValues" dxfId="23" priority="7"/>
  </conditionalFormatting>
  <conditionalFormatting sqref="D16">
    <cfRule type="duplicateValues" dxfId="22" priority="5"/>
  </conditionalFormatting>
  <conditionalFormatting sqref="D17">
    <cfRule type="duplicateValues" dxfId="21" priority="4"/>
  </conditionalFormatting>
  <conditionalFormatting sqref="D18">
    <cfRule type="duplicateValues" dxfId="20" priority="3"/>
  </conditionalFormatting>
  <conditionalFormatting sqref="D19">
    <cfRule type="duplicateValues" dxfId="19" priority="2"/>
  </conditionalFormatting>
  <conditionalFormatting sqref="D20">
    <cfRule type="duplicateValues" dxfId="18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1A94-6AD9-48BA-B61D-F0CEF402D9ED}">
  <sheetPr>
    <tabColor rgb="FFFFC000"/>
  </sheetPr>
  <dimension ref="B1:O137"/>
  <sheetViews>
    <sheetView workbookViewId="0">
      <selection activeCell="O10" sqref="O10"/>
    </sheetView>
  </sheetViews>
  <sheetFormatPr defaultColWidth="9.140625" defaultRowHeight="15"/>
  <cols>
    <col min="1" max="1" width="2.85546875" customWidth="1"/>
    <col min="2" max="2" width="4.140625" bestFit="1" customWidth="1"/>
    <col min="3" max="3" width="10.5703125" style="1" customWidth="1"/>
    <col min="4" max="4" width="43.7109375" bestFit="1" customWidth="1"/>
    <col min="5" max="8" width="0" hidden="1" customWidth="1"/>
    <col min="9" max="9" width="14.5703125" style="1" bestFit="1" customWidth="1"/>
    <col min="10" max="12" width="15.5703125" style="1" customWidth="1"/>
    <col min="13" max="13" width="36.42578125" bestFit="1" customWidth="1"/>
    <col min="14" max="14" width="17.85546875" style="1" customWidth="1"/>
    <col min="15" max="15" width="20.140625" customWidth="1"/>
  </cols>
  <sheetData>
    <row r="1" spans="2:15">
      <c r="O1" s="1"/>
    </row>
    <row r="2" spans="2:15">
      <c r="O2" s="1"/>
    </row>
    <row r="3" spans="2:15">
      <c r="O3" s="1"/>
    </row>
    <row r="4" spans="2:15">
      <c r="O4" s="1"/>
    </row>
    <row r="5" spans="2:15">
      <c r="O5" s="1"/>
    </row>
    <row r="6" spans="2:15" ht="46.9" customHeight="1">
      <c r="B6" s="112" t="s">
        <v>712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</row>
    <row r="7" spans="2:15">
      <c r="O7" s="1"/>
    </row>
    <row r="8" spans="2:15" s="11" customFormat="1" ht="34.15" customHeight="1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5</v>
      </c>
      <c r="K8" s="9" t="s">
        <v>6</v>
      </c>
      <c r="L8" s="9" t="s">
        <v>7</v>
      </c>
      <c r="M8" s="9" t="s">
        <v>13</v>
      </c>
      <c r="N8" s="9" t="s">
        <v>14</v>
      </c>
      <c r="O8" s="9" t="s">
        <v>15</v>
      </c>
    </row>
    <row r="9" spans="2:15">
      <c r="B9" s="4">
        <v>1</v>
      </c>
      <c r="C9" s="4"/>
      <c r="D9" s="38" t="s">
        <v>791</v>
      </c>
      <c r="E9" s="5"/>
      <c r="F9" s="5"/>
      <c r="G9" s="5"/>
      <c r="H9" s="5"/>
      <c r="I9" s="4">
        <v>18</v>
      </c>
      <c r="J9" s="14" t="s">
        <v>771</v>
      </c>
      <c r="K9" s="14" t="s">
        <v>19</v>
      </c>
      <c r="L9" s="14" t="s">
        <v>32</v>
      </c>
      <c r="M9" s="5"/>
      <c r="N9" s="4"/>
      <c r="O9" s="5" t="s">
        <v>675</v>
      </c>
    </row>
    <row r="10" spans="2:15">
      <c r="B10" s="4">
        <v>2</v>
      </c>
      <c r="C10" s="4"/>
      <c r="D10" s="5"/>
      <c r="E10" s="5"/>
      <c r="F10" s="5"/>
      <c r="G10" s="5"/>
      <c r="H10" s="5"/>
      <c r="I10" s="4"/>
      <c r="J10" s="14"/>
      <c r="K10" s="14"/>
      <c r="L10" s="14"/>
      <c r="M10" s="5"/>
      <c r="N10" s="4"/>
      <c r="O10" s="5"/>
    </row>
    <row r="11" spans="2:15">
      <c r="B11" s="4">
        <v>3</v>
      </c>
      <c r="C11" s="4"/>
      <c r="D11" s="5"/>
      <c r="E11" s="5"/>
      <c r="F11" s="5"/>
      <c r="G11" s="5"/>
      <c r="H11" s="5"/>
      <c r="I11" s="4"/>
      <c r="J11" s="14"/>
      <c r="K11" s="14"/>
      <c r="L11" s="14"/>
      <c r="M11" s="5"/>
      <c r="N11" s="4"/>
      <c r="O11" s="5"/>
    </row>
    <row r="12" spans="2:15">
      <c r="B12" s="4">
        <v>4</v>
      </c>
      <c r="C12" s="4"/>
      <c r="D12" s="5"/>
      <c r="E12" s="5"/>
      <c r="F12" s="5"/>
      <c r="G12" s="5"/>
      <c r="H12" s="5"/>
      <c r="I12" s="4"/>
      <c r="J12" s="14"/>
      <c r="K12" s="14"/>
      <c r="L12" s="14"/>
      <c r="M12" s="5"/>
      <c r="N12" s="4"/>
      <c r="O12" s="5"/>
    </row>
    <row r="13" spans="2:15">
      <c r="B13" s="4">
        <v>5</v>
      </c>
      <c r="C13" s="4"/>
      <c r="D13" s="5"/>
      <c r="E13" s="5"/>
      <c r="F13" s="5"/>
      <c r="G13" s="5"/>
      <c r="H13" s="5"/>
      <c r="I13" s="4"/>
      <c r="J13" s="14"/>
      <c r="K13" s="14"/>
      <c r="L13" s="14"/>
      <c r="M13" s="5"/>
      <c r="N13" s="4"/>
      <c r="O13" s="5"/>
    </row>
    <row r="14" spans="2:15">
      <c r="B14" s="4">
        <v>6</v>
      </c>
      <c r="C14" s="4"/>
      <c r="D14" s="5"/>
      <c r="E14" s="5"/>
      <c r="F14" s="5"/>
      <c r="G14" s="5"/>
      <c r="H14" s="5"/>
      <c r="I14" s="4"/>
      <c r="J14" s="14"/>
      <c r="K14" s="14"/>
      <c r="L14" s="14"/>
      <c r="M14" s="5"/>
      <c r="N14" s="4"/>
      <c r="O14" s="5"/>
    </row>
    <row r="15" spans="2:15">
      <c r="B15" s="4">
        <v>7</v>
      </c>
      <c r="C15" s="4"/>
      <c r="D15" s="5"/>
      <c r="E15" s="5"/>
      <c r="F15" s="5"/>
      <c r="G15" s="5"/>
      <c r="H15" s="5"/>
      <c r="I15" s="4"/>
      <c r="J15" s="14"/>
      <c r="K15" s="14"/>
      <c r="L15" s="14"/>
      <c r="M15" s="5"/>
      <c r="N15" s="4"/>
      <c r="O15" s="5"/>
    </row>
    <row r="16" spans="2:15">
      <c r="B16" s="4">
        <v>8</v>
      </c>
      <c r="C16" s="4"/>
      <c r="D16" s="5"/>
      <c r="E16" s="5"/>
      <c r="F16" s="5"/>
      <c r="G16" s="5"/>
      <c r="H16" s="5"/>
      <c r="I16" s="4"/>
      <c r="J16" s="14"/>
      <c r="K16" s="14"/>
      <c r="L16" s="14"/>
      <c r="M16" s="5"/>
      <c r="N16" s="4"/>
      <c r="O16" s="5"/>
    </row>
    <row r="17" spans="2:15">
      <c r="B17" s="4">
        <v>9</v>
      </c>
      <c r="C17" s="4"/>
      <c r="D17" s="5"/>
      <c r="E17" s="5"/>
      <c r="F17" s="5"/>
      <c r="G17" s="5"/>
      <c r="H17" s="5"/>
      <c r="I17" s="4"/>
      <c r="J17" s="14"/>
      <c r="K17" s="14"/>
      <c r="L17" s="14"/>
      <c r="M17" s="5"/>
      <c r="N17" s="4"/>
      <c r="O17" s="5"/>
    </row>
    <row r="18" spans="2:15">
      <c r="B18" s="4">
        <v>10</v>
      </c>
      <c r="C18" s="4"/>
      <c r="D18" s="5"/>
      <c r="E18" s="5"/>
      <c r="F18" s="5"/>
      <c r="G18" s="5"/>
      <c r="H18" s="5"/>
      <c r="I18" s="4"/>
      <c r="J18" s="14"/>
      <c r="K18" s="14"/>
      <c r="L18" s="14"/>
      <c r="M18" s="5"/>
      <c r="N18" s="4"/>
      <c r="O18" s="5"/>
    </row>
    <row r="19" spans="2:15">
      <c r="B19" s="4">
        <v>11</v>
      </c>
      <c r="C19" s="4"/>
      <c r="D19" s="5"/>
      <c r="E19" s="5"/>
      <c r="F19" s="5"/>
      <c r="G19" s="5"/>
      <c r="H19" s="5"/>
      <c r="I19" s="4"/>
      <c r="J19" s="14"/>
      <c r="K19" s="14"/>
      <c r="L19" s="14"/>
      <c r="M19" s="5"/>
      <c r="N19" s="12"/>
      <c r="O19" s="5"/>
    </row>
    <row r="20" spans="2:15">
      <c r="B20" s="4">
        <v>12</v>
      </c>
      <c r="C20" s="4"/>
      <c r="D20" s="5"/>
      <c r="E20" s="5"/>
      <c r="F20" s="5"/>
      <c r="G20" s="5"/>
      <c r="H20" s="5"/>
      <c r="I20" s="4"/>
      <c r="J20" s="14"/>
      <c r="K20" s="14"/>
      <c r="L20" s="14"/>
      <c r="M20" s="5"/>
      <c r="N20" s="4"/>
      <c r="O20" s="5"/>
    </row>
    <row r="21" spans="2:15">
      <c r="B21" s="4">
        <v>13</v>
      </c>
      <c r="C21" s="4"/>
      <c r="D21" s="5"/>
      <c r="E21" s="5"/>
      <c r="F21" s="5"/>
      <c r="G21" s="5"/>
      <c r="H21" s="5"/>
      <c r="I21" s="4"/>
      <c r="J21" s="14"/>
      <c r="K21" s="14"/>
      <c r="L21" s="14"/>
      <c r="M21" s="5"/>
      <c r="N21" s="4"/>
      <c r="O21" s="5"/>
    </row>
    <row r="22" spans="2:15">
      <c r="B22" s="4">
        <v>14</v>
      </c>
      <c r="C22" s="4"/>
      <c r="D22" s="5"/>
      <c r="E22" s="5"/>
      <c r="F22" s="5"/>
      <c r="G22" s="5"/>
      <c r="H22" s="5"/>
      <c r="I22" s="4"/>
      <c r="J22" s="14"/>
      <c r="K22" s="14"/>
      <c r="L22" s="14"/>
      <c r="M22" s="5"/>
      <c r="N22" s="4"/>
      <c r="O22" s="5"/>
    </row>
    <row r="23" spans="2:15">
      <c r="B23" s="4">
        <v>15</v>
      </c>
      <c r="C23" s="4"/>
      <c r="D23" s="5"/>
      <c r="E23" s="5"/>
      <c r="F23" s="5"/>
      <c r="G23" s="5"/>
      <c r="H23" s="5"/>
      <c r="I23" s="4"/>
      <c r="J23" s="14"/>
      <c r="K23" s="14"/>
      <c r="L23" s="14"/>
      <c r="M23" s="5"/>
      <c r="N23" s="4"/>
      <c r="O23" s="5"/>
    </row>
    <row r="24" spans="2:15">
      <c r="B24" s="4">
        <v>16</v>
      </c>
      <c r="C24" s="4"/>
      <c r="D24" s="5"/>
      <c r="E24" s="5"/>
      <c r="F24" s="5"/>
      <c r="G24" s="5"/>
      <c r="H24" s="5"/>
      <c r="I24" s="4"/>
      <c r="J24" s="14"/>
      <c r="K24" s="14"/>
      <c r="L24" s="14"/>
      <c r="M24" s="5"/>
      <c r="N24" s="4"/>
      <c r="O24" s="5"/>
    </row>
    <row r="25" spans="2:15">
      <c r="B25" s="4">
        <v>17</v>
      </c>
      <c r="C25" s="4"/>
      <c r="D25" s="5"/>
      <c r="E25" s="5"/>
      <c r="F25" s="5"/>
      <c r="G25" s="5"/>
      <c r="H25" s="5"/>
      <c r="I25" s="4"/>
      <c r="J25" s="14"/>
      <c r="K25" s="14"/>
      <c r="L25" s="14"/>
      <c r="M25" s="5"/>
      <c r="N25" s="4"/>
      <c r="O25" s="5"/>
    </row>
    <row r="26" spans="2:15">
      <c r="B26" s="4">
        <v>18</v>
      </c>
      <c r="C26" s="4"/>
      <c r="D26" s="5"/>
      <c r="E26" s="5"/>
      <c r="F26" s="5"/>
      <c r="G26" s="5"/>
      <c r="H26" s="5"/>
      <c r="I26" s="4"/>
      <c r="J26" s="14"/>
      <c r="K26" s="14"/>
      <c r="L26" s="14"/>
      <c r="M26" s="5"/>
      <c r="N26" s="4"/>
      <c r="O26" s="5"/>
    </row>
    <row r="27" spans="2:15">
      <c r="B27" s="4">
        <v>19</v>
      </c>
      <c r="C27" s="4"/>
      <c r="D27" s="5"/>
      <c r="E27" s="5"/>
      <c r="F27" s="5"/>
      <c r="G27" s="5"/>
      <c r="H27" s="5"/>
      <c r="I27" s="4"/>
      <c r="J27" s="14"/>
      <c r="K27" s="14"/>
      <c r="L27" s="14"/>
      <c r="M27" s="5"/>
      <c r="N27" s="4"/>
      <c r="O27" s="5"/>
    </row>
    <row r="28" spans="2:15">
      <c r="B28" s="4">
        <v>20</v>
      </c>
      <c r="C28" s="4"/>
      <c r="D28" s="5"/>
      <c r="E28" s="5"/>
      <c r="F28" s="5"/>
      <c r="G28" s="5"/>
      <c r="H28" s="5"/>
      <c r="I28" s="4"/>
      <c r="J28" s="14"/>
      <c r="K28" s="14"/>
      <c r="L28" s="14"/>
      <c r="M28" s="5"/>
      <c r="N28" s="4"/>
      <c r="O28" s="5"/>
    </row>
    <row r="29" spans="2:15">
      <c r="B29" s="4">
        <v>21</v>
      </c>
      <c r="C29" s="4"/>
      <c r="D29" s="5"/>
      <c r="E29" s="5"/>
      <c r="F29" s="5"/>
      <c r="G29" s="5"/>
      <c r="H29" s="5"/>
      <c r="I29" s="4"/>
      <c r="J29" s="14"/>
      <c r="K29" s="14"/>
      <c r="L29" s="14"/>
      <c r="M29" s="5"/>
      <c r="N29" s="4"/>
      <c r="O29" s="5"/>
    </row>
    <row r="30" spans="2:15">
      <c r="B30" s="4">
        <v>22</v>
      </c>
      <c r="C30" s="4"/>
      <c r="D30" s="5"/>
      <c r="E30" s="5"/>
      <c r="F30" s="5"/>
      <c r="G30" s="5"/>
      <c r="H30" s="5"/>
      <c r="I30" s="4"/>
      <c r="J30" s="14"/>
      <c r="K30" s="14"/>
      <c r="L30" s="14"/>
      <c r="M30" s="5"/>
      <c r="N30" s="4"/>
      <c r="O30" s="5"/>
    </row>
    <row r="31" spans="2:15">
      <c r="B31" s="4">
        <v>23</v>
      </c>
      <c r="C31" s="4"/>
      <c r="D31" s="5"/>
      <c r="E31" s="5"/>
      <c r="F31" s="5"/>
      <c r="G31" s="5"/>
      <c r="H31" s="5"/>
      <c r="I31" s="4"/>
      <c r="J31" s="14"/>
      <c r="K31" s="14"/>
      <c r="L31" s="14"/>
      <c r="M31" s="5"/>
      <c r="N31" s="4"/>
      <c r="O31" s="5"/>
    </row>
    <row r="32" spans="2:15">
      <c r="B32" s="4">
        <v>24</v>
      </c>
      <c r="C32" s="4"/>
      <c r="D32" s="5"/>
      <c r="E32" s="5"/>
      <c r="F32" s="5"/>
      <c r="G32" s="5"/>
      <c r="H32" s="5"/>
      <c r="I32" s="4"/>
      <c r="J32" s="14"/>
      <c r="K32" s="14"/>
      <c r="L32" s="14"/>
      <c r="M32" s="5"/>
      <c r="N32" s="4"/>
      <c r="O32" s="5"/>
    </row>
    <row r="33" spans="2:15">
      <c r="B33" s="4">
        <v>25</v>
      </c>
      <c r="C33" s="4"/>
      <c r="D33" s="5"/>
      <c r="E33" s="5"/>
      <c r="F33" s="5"/>
      <c r="G33" s="5"/>
      <c r="H33" s="5"/>
      <c r="I33" s="4"/>
      <c r="J33" s="14"/>
      <c r="K33" s="14"/>
      <c r="L33" s="14"/>
      <c r="M33" s="5"/>
      <c r="N33" s="4"/>
      <c r="O33" s="5"/>
    </row>
    <row r="34" spans="2:15">
      <c r="B34" s="4">
        <v>26</v>
      </c>
      <c r="C34" s="4"/>
      <c r="D34" s="5"/>
      <c r="E34" s="5"/>
      <c r="F34" s="5"/>
      <c r="G34" s="5"/>
      <c r="H34" s="5"/>
      <c r="I34" s="4"/>
      <c r="J34" s="14"/>
      <c r="K34" s="14"/>
      <c r="L34" s="14"/>
      <c r="M34" s="5"/>
      <c r="N34" s="4"/>
      <c r="O34" s="5"/>
    </row>
    <row r="35" spans="2:15">
      <c r="B35" s="4">
        <v>27</v>
      </c>
      <c r="C35" s="4"/>
      <c r="D35" s="5"/>
      <c r="E35" s="5"/>
      <c r="F35" s="5"/>
      <c r="G35" s="5"/>
      <c r="H35" s="5"/>
      <c r="I35" s="4"/>
      <c r="J35" s="14"/>
      <c r="K35" s="14"/>
      <c r="L35" s="14"/>
      <c r="M35" s="5"/>
      <c r="N35" s="4"/>
      <c r="O35" s="5"/>
    </row>
    <row r="36" spans="2:15">
      <c r="B36" s="4">
        <v>28</v>
      </c>
      <c r="C36" s="4"/>
      <c r="D36" s="5"/>
      <c r="E36" s="5"/>
      <c r="F36" s="5"/>
      <c r="G36" s="5"/>
      <c r="H36" s="5"/>
      <c r="I36" s="4"/>
      <c r="J36" s="14"/>
      <c r="K36" s="14"/>
      <c r="L36" s="14"/>
      <c r="M36" s="5"/>
      <c r="N36" s="4"/>
      <c r="O36" s="5"/>
    </row>
    <row r="37" spans="2:15">
      <c r="B37" s="4">
        <v>29</v>
      </c>
      <c r="C37" s="4"/>
      <c r="D37" s="5"/>
      <c r="E37" s="5"/>
      <c r="F37" s="5"/>
      <c r="G37" s="5"/>
      <c r="H37" s="5"/>
      <c r="I37" s="4"/>
      <c r="J37" s="14"/>
      <c r="K37" s="14"/>
      <c r="L37" s="14"/>
      <c r="M37" s="5"/>
      <c r="N37" s="4"/>
      <c r="O37" s="5"/>
    </row>
    <row r="38" spans="2:15">
      <c r="B38" s="4">
        <v>30</v>
      </c>
      <c r="C38" s="4"/>
      <c r="D38" s="5"/>
      <c r="E38" s="5"/>
      <c r="F38" s="5"/>
      <c r="G38" s="5"/>
      <c r="H38" s="5"/>
      <c r="I38" s="4"/>
      <c r="J38" s="14"/>
      <c r="K38" s="14"/>
      <c r="L38" s="14"/>
      <c r="M38" s="5"/>
      <c r="N38" s="4"/>
      <c r="O38" s="5"/>
    </row>
    <row r="39" spans="2:15">
      <c r="B39" s="4">
        <v>31</v>
      </c>
      <c r="C39" s="4"/>
      <c r="D39" s="5"/>
      <c r="E39" s="5"/>
      <c r="F39" s="5"/>
      <c r="G39" s="5"/>
      <c r="H39" s="5"/>
      <c r="I39" s="4"/>
      <c r="J39" s="14"/>
      <c r="K39" s="14"/>
      <c r="L39" s="14"/>
      <c r="M39" s="5"/>
      <c r="N39" s="4"/>
      <c r="O39" s="5"/>
    </row>
    <row r="40" spans="2:15">
      <c r="B40" s="4">
        <v>32</v>
      </c>
      <c r="C40" s="4"/>
      <c r="D40" s="5"/>
      <c r="E40" s="5"/>
      <c r="F40" s="5"/>
      <c r="G40" s="5"/>
      <c r="H40" s="5"/>
      <c r="I40" s="4"/>
      <c r="J40" s="14"/>
      <c r="K40" s="14"/>
      <c r="L40" s="14"/>
      <c r="M40" s="5"/>
      <c r="N40" s="4"/>
      <c r="O40" s="5"/>
    </row>
    <row r="41" spans="2:15">
      <c r="B41" s="4">
        <v>33</v>
      </c>
      <c r="C41" s="4"/>
      <c r="D41" s="5"/>
      <c r="E41" s="5"/>
      <c r="F41" s="5"/>
      <c r="G41" s="5"/>
      <c r="H41" s="5"/>
      <c r="I41" s="4"/>
      <c r="J41" s="14"/>
      <c r="K41" s="14"/>
      <c r="L41" s="14"/>
      <c r="M41" s="5"/>
      <c r="N41" s="4"/>
      <c r="O41" s="5"/>
    </row>
    <row r="42" spans="2:15">
      <c r="B42" s="4">
        <v>34</v>
      </c>
      <c r="C42" s="4"/>
      <c r="D42" s="5"/>
      <c r="E42" s="5"/>
      <c r="F42" s="5"/>
      <c r="G42" s="5"/>
      <c r="H42" s="5"/>
      <c r="I42" s="4"/>
      <c r="J42" s="14"/>
      <c r="K42" s="14"/>
      <c r="L42" s="14"/>
      <c r="M42" s="5"/>
      <c r="N42" s="12"/>
      <c r="O42" s="5"/>
    </row>
    <row r="43" spans="2:15">
      <c r="B43" s="4">
        <v>35</v>
      </c>
      <c r="C43" s="4"/>
      <c r="D43" s="5"/>
      <c r="E43" s="5"/>
      <c r="F43" s="5"/>
      <c r="G43" s="5"/>
      <c r="H43" s="5"/>
      <c r="I43" s="4"/>
      <c r="J43" s="14"/>
      <c r="K43" s="14"/>
      <c r="L43" s="14"/>
      <c r="M43" s="5"/>
      <c r="N43" s="4"/>
      <c r="O43" s="5"/>
    </row>
    <row r="44" spans="2:15">
      <c r="B44" s="4">
        <v>36</v>
      </c>
      <c r="C44" s="4"/>
      <c r="D44" s="5"/>
      <c r="E44" s="5"/>
      <c r="F44" s="5"/>
      <c r="G44" s="5"/>
      <c r="H44" s="5"/>
      <c r="I44" s="4"/>
      <c r="J44" s="14"/>
      <c r="K44" s="14"/>
      <c r="L44" s="14"/>
      <c r="M44" s="5"/>
      <c r="N44" s="4"/>
      <c r="O44" s="5"/>
    </row>
    <row r="45" spans="2:15">
      <c r="B45" s="4">
        <v>37</v>
      </c>
      <c r="C45" s="4"/>
      <c r="D45" s="19"/>
      <c r="E45" s="5"/>
      <c r="F45" s="5"/>
      <c r="G45" s="5"/>
      <c r="H45" s="5"/>
      <c r="I45" s="4"/>
      <c r="J45" s="4"/>
      <c r="K45" s="4"/>
      <c r="L45" s="4"/>
      <c r="M45" s="5"/>
      <c r="N45" s="4"/>
      <c r="O45" s="5"/>
    </row>
    <row r="46" spans="2:15">
      <c r="B46" s="4">
        <v>38</v>
      </c>
      <c r="C46" s="4"/>
      <c r="D46" s="5"/>
      <c r="E46" s="5"/>
      <c r="F46" s="5"/>
      <c r="G46" s="5"/>
      <c r="H46" s="5"/>
      <c r="I46" s="4"/>
      <c r="J46" s="14"/>
      <c r="K46" s="14"/>
      <c r="L46" s="14"/>
      <c r="M46" s="5"/>
      <c r="N46" s="4"/>
      <c r="O46" s="5"/>
    </row>
    <row r="47" spans="2:15">
      <c r="B47" s="4">
        <v>39</v>
      </c>
      <c r="C47" s="4"/>
      <c r="D47" s="5"/>
      <c r="E47" s="5"/>
      <c r="F47" s="5"/>
      <c r="G47" s="5"/>
      <c r="H47" s="5"/>
      <c r="I47" s="4"/>
      <c r="J47" s="14"/>
      <c r="K47" s="14"/>
      <c r="L47" s="14"/>
      <c r="M47" s="5"/>
      <c r="N47" s="4"/>
      <c r="O47" s="5"/>
    </row>
    <row r="48" spans="2:15">
      <c r="B48" s="4">
        <v>40</v>
      </c>
      <c r="C48" s="4"/>
      <c r="D48" s="5"/>
      <c r="E48" s="5"/>
      <c r="F48" s="5"/>
      <c r="G48" s="5"/>
      <c r="H48" s="5"/>
      <c r="I48" s="4"/>
      <c r="J48" s="14"/>
      <c r="K48" s="14"/>
      <c r="L48" s="14"/>
      <c r="M48" s="5"/>
      <c r="N48" s="4"/>
      <c r="O48" s="5"/>
    </row>
    <row r="49" spans="2:15">
      <c r="B49" s="4">
        <v>41</v>
      </c>
      <c r="C49" s="4"/>
      <c r="D49" s="5"/>
      <c r="E49" s="5"/>
      <c r="F49" s="5"/>
      <c r="G49" s="5"/>
      <c r="H49" s="5"/>
      <c r="I49" s="4"/>
      <c r="J49" s="14"/>
      <c r="K49" s="14"/>
      <c r="L49" s="14"/>
      <c r="M49" s="5"/>
      <c r="N49" s="4"/>
      <c r="O49" s="5"/>
    </row>
    <row r="50" spans="2:15">
      <c r="B50" s="4">
        <v>42</v>
      </c>
      <c r="C50" s="4"/>
      <c r="D50" s="5"/>
      <c r="E50" s="5"/>
      <c r="F50" s="5"/>
      <c r="G50" s="5"/>
      <c r="H50" s="5"/>
      <c r="I50" s="4"/>
      <c r="J50" s="14"/>
      <c r="K50" s="14"/>
      <c r="L50" s="14"/>
      <c r="M50" s="5"/>
      <c r="N50" s="4"/>
      <c r="O50" s="5"/>
    </row>
    <row r="51" spans="2:15">
      <c r="B51" s="4">
        <v>43</v>
      </c>
      <c r="C51" s="4"/>
      <c r="D51" s="5"/>
      <c r="E51" s="5"/>
      <c r="F51" s="5"/>
      <c r="G51" s="5"/>
      <c r="H51" s="5"/>
      <c r="I51" s="4"/>
      <c r="J51" s="14"/>
      <c r="K51" s="14"/>
      <c r="L51" s="14"/>
      <c r="M51" s="5"/>
      <c r="N51" s="4"/>
      <c r="O51" s="5"/>
    </row>
    <row r="52" spans="2:15">
      <c r="B52" s="4">
        <v>44</v>
      </c>
      <c r="C52" s="4"/>
      <c r="D52" s="5"/>
      <c r="E52" s="5"/>
      <c r="F52" s="5"/>
      <c r="G52" s="5"/>
      <c r="H52" s="5"/>
      <c r="I52" s="4"/>
      <c r="J52" s="14"/>
      <c r="K52" s="14"/>
      <c r="L52" s="14"/>
      <c r="M52" s="5"/>
      <c r="N52" s="4"/>
      <c r="O52" s="5"/>
    </row>
    <row r="53" spans="2:15">
      <c r="B53" s="4">
        <v>45</v>
      </c>
      <c r="C53" s="4"/>
      <c r="D53" s="5"/>
      <c r="E53" s="5"/>
      <c r="F53" s="5"/>
      <c r="G53" s="5"/>
      <c r="H53" s="5"/>
      <c r="I53" s="4"/>
      <c r="J53" s="14"/>
      <c r="K53" s="14"/>
      <c r="L53" s="14"/>
      <c r="M53" s="5"/>
      <c r="N53" s="4"/>
      <c r="O53" s="5"/>
    </row>
    <row r="54" spans="2:15">
      <c r="B54" s="4">
        <v>46</v>
      </c>
      <c r="C54" s="4"/>
      <c r="D54" s="5"/>
      <c r="E54" s="5"/>
      <c r="F54" s="5"/>
      <c r="G54" s="5"/>
      <c r="H54" s="5"/>
      <c r="I54" s="4"/>
      <c r="J54" s="14"/>
      <c r="K54" s="14"/>
      <c r="L54" s="14"/>
      <c r="M54" s="5"/>
      <c r="N54" s="4"/>
      <c r="O54" s="5"/>
    </row>
    <row r="55" spans="2:15">
      <c r="B55" s="4">
        <v>47</v>
      </c>
      <c r="C55" s="4"/>
      <c r="D55" s="5"/>
      <c r="E55" s="5"/>
      <c r="F55" s="5"/>
      <c r="G55" s="5"/>
      <c r="H55" s="5"/>
      <c r="I55" s="4"/>
      <c r="J55" s="14"/>
      <c r="K55" s="14"/>
      <c r="L55" s="14"/>
      <c r="M55" s="5"/>
      <c r="N55" s="4"/>
      <c r="O55" s="5"/>
    </row>
    <row r="56" spans="2:15">
      <c r="B56" s="4">
        <v>48</v>
      </c>
      <c r="C56" s="4"/>
      <c r="D56" s="5"/>
      <c r="E56" s="5"/>
      <c r="F56" s="5"/>
      <c r="G56" s="5"/>
      <c r="H56" s="5"/>
      <c r="I56" s="4"/>
      <c r="J56" s="14"/>
      <c r="K56" s="14"/>
      <c r="L56" s="14"/>
      <c r="M56" s="5"/>
      <c r="N56" s="4"/>
      <c r="O56" s="5"/>
    </row>
    <row r="57" spans="2:15">
      <c r="B57" s="4">
        <v>49</v>
      </c>
      <c r="C57" s="4"/>
      <c r="D57" s="5"/>
      <c r="E57" s="5"/>
      <c r="F57" s="5"/>
      <c r="G57" s="5"/>
      <c r="H57" s="5"/>
      <c r="I57" s="4"/>
      <c r="J57" s="14"/>
      <c r="K57" s="14"/>
      <c r="L57" s="14"/>
      <c r="M57" s="5"/>
      <c r="N57" s="4"/>
      <c r="O57" s="5"/>
    </row>
    <row r="58" spans="2:15">
      <c r="B58" s="4">
        <v>50</v>
      </c>
      <c r="C58" s="4"/>
      <c r="D58" s="5"/>
      <c r="E58" s="5"/>
      <c r="F58" s="5"/>
      <c r="G58" s="5"/>
      <c r="H58" s="5"/>
      <c r="I58" s="4"/>
      <c r="J58" s="14"/>
      <c r="K58" s="14"/>
      <c r="L58" s="14"/>
      <c r="M58" s="5"/>
      <c r="N58" s="4"/>
      <c r="O58" s="5"/>
    </row>
    <row r="59" spans="2:15">
      <c r="B59" s="4">
        <v>51</v>
      </c>
      <c r="C59" s="4"/>
      <c r="D59" s="5"/>
      <c r="E59" s="5"/>
      <c r="F59" s="5"/>
      <c r="G59" s="5"/>
      <c r="H59" s="5"/>
      <c r="I59" s="4"/>
      <c r="J59" s="14"/>
      <c r="K59" s="14"/>
      <c r="L59" s="14"/>
      <c r="M59" s="5"/>
      <c r="N59" s="4"/>
      <c r="O59" s="5"/>
    </row>
    <row r="60" spans="2:15">
      <c r="B60" s="4">
        <v>52</v>
      </c>
      <c r="C60" s="4"/>
      <c r="D60" s="5"/>
      <c r="E60" s="5"/>
      <c r="F60" s="5"/>
      <c r="G60" s="5"/>
      <c r="H60" s="5"/>
      <c r="I60" s="4"/>
      <c r="J60" s="14"/>
      <c r="K60" s="14"/>
      <c r="L60" s="14"/>
      <c r="M60" s="5"/>
      <c r="N60" s="4"/>
      <c r="O60" s="5"/>
    </row>
    <row r="61" spans="2:15">
      <c r="B61" s="4">
        <v>53</v>
      </c>
      <c r="C61" s="4"/>
      <c r="D61" s="5"/>
      <c r="E61" s="5"/>
      <c r="F61" s="5"/>
      <c r="G61" s="5"/>
      <c r="H61" s="5"/>
      <c r="I61" s="4"/>
      <c r="J61" s="14"/>
      <c r="K61" s="14"/>
      <c r="L61" s="14"/>
      <c r="M61" s="5"/>
      <c r="N61" s="4"/>
      <c r="O61" s="5"/>
    </row>
    <row r="62" spans="2:15">
      <c r="B62" s="4">
        <v>54</v>
      </c>
      <c r="C62" s="4"/>
      <c r="D62" s="5"/>
      <c r="E62" s="5"/>
      <c r="F62" s="5"/>
      <c r="G62" s="5"/>
      <c r="H62" s="5"/>
      <c r="I62" s="4"/>
      <c r="J62" s="14"/>
      <c r="K62" s="14"/>
      <c r="L62" s="14"/>
      <c r="M62" s="5"/>
      <c r="N62" s="4"/>
      <c r="O62" s="5"/>
    </row>
    <row r="63" spans="2:15">
      <c r="B63" s="4">
        <v>55</v>
      </c>
      <c r="C63" s="4"/>
      <c r="D63" s="5"/>
      <c r="E63" s="5"/>
      <c r="F63" s="5"/>
      <c r="G63" s="5"/>
      <c r="H63" s="5"/>
      <c r="I63" s="4"/>
      <c r="J63" s="14"/>
      <c r="K63" s="14"/>
      <c r="L63" s="14"/>
      <c r="M63" s="5"/>
      <c r="N63" s="4"/>
      <c r="O63" s="5"/>
    </row>
    <row r="64" spans="2:15">
      <c r="B64" s="4">
        <v>56</v>
      </c>
      <c r="C64" s="4"/>
      <c r="D64" s="5"/>
      <c r="E64" s="5"/>
      <c r="F64" s="5"/>
      <c r="G64" s="5"/>
      <c r="H64" s="5"/>
      <c r="I64" s="4"/>
      <c r="J64" s="14"/>
      <c r="K64" s="14"/>
      <c r="L64" s="14"/>
      <c r="M64" s="5"/>
      <c r="N64" s="4"/>
      <c r="O64" s="5"/>
    </row>
    <row r="65" spans="2:15">
      <c r="B65" s="4">
        <v>57</v>
      </c>
      <c r="C65" s="4"/>
      <c r="D65" s="5"/>
      <c r="E65" s="5"/>
      <c r="F65" s="5"/>
      <c r="G65" s="5"/>
      <c r="H65" s="5"/>
      <c r="I65" s="4"/>
      <c r="J65" s="14"/>
      <c r="K65" s="14"/>
      <c r="L65" s="14"/>
      <c r="M65" s="5"/>
      <c r="N65" s="4"/>
      <c r="O65" s="5"/>
    </row>
    <row r="66" spans="2:15">
      <c r="B66" s="4">
        <v>58</v>
      </c>
      <c r="C66" s="4"/>
      <c r="D66" s="5"/>
      <c r="E66" s="5"/>
      <c r="F66" s="5"/>
      <c r="G66" s="5"/>
      <c r="H66" s="5"/>
      <c r="I66" s="4"/>
      <c r="J66" s="14"/>
      <c r="K66" s="14"/>
      <c r="L66" s="14"/>
      <c r="M66" s="5"/>
      <c r="N66" s="4"/>
      <c r="O66" s="5"/>
    </row>
    <row r="67" spans="2:15">
      <c r="B67" s="4">
        <v>59</v>
      </c>
      <c r="C67" s="4"/>
      <c r="D67" s="5"/>
      <c r="E67" s="5"/>
      <c r="F67" s="5"/>
      <c r="G67" s="5"/>
      <c r="H67" s="5"/>
      <c r="I67" s="4"/>
      <c r="J67" s="14"/>
      <c r="K67" s="14"/>
      <c r="L67" s="14"/>
      <c r="M67" s="5"/>
      <c r="N67" s="4"/>
      <c r="O67" s="5"/>
    </row>
    <row r="68" spans="2:15">
      <c r="B68" s="4">
        <v>60</v>
      </c>
      <c r="C68" s="4"/>
      <c r="D68" s="5"/>
      <c r="E68" s="5"/>
      <c r="F68" s="5"/>
      <c r="G68" s="5"/>
      <c r="H68" s="5"/>
      <c r="I68" s="4"/>
      <c r="J68" s="14"/>
      <c r="K68" s="14"/>
      <c r="L68" s="14"/>
      <c r="M68" s="5"/>
      <c r="N68" s="4"/>
      <c r="O68" s="5"/>
    </row>
    <row r="69" spans="2:15">
      <c r="B69" s="4">
        <v>61</v>
      </c>
      <c r="C69" s="4"/>
      <c r="D69" s="5"/>
      <c r="E69" s="5"/>
      <c r="F69" s="5"/>
      <c r="G69" s="5"/>
      <c r="H69" s="5"/>
      <c r="I69" s="4"/>
      <c r="J69" s="14"/>
      <c r="K69" s="14"/>
      <c r="L69" s="14"/>
      <c r="M69" s="5"/>
      <c r="N69" s="4"/>
      <c r="O69" s="5"/>
    </row>
    <row r="70" spans="2:15">
      <c r="B70" s="4">
        <v>62</v>
      </c>
      <c r="C70" s="4"/>
      <c r="D70" s="5"/>
      <c r="E70" s="5"/>
      <c r="F70" s="5"/>
      <c r="G70" s="5"/>
      <c r="H70" s="5"/>
      <c r="I70" s="4"/>
      <c r="J70" s="14"/>
      <c r="K70" s="14"/>
      <c r="L70" s="14"/>
      <c r="M70" s="5"/>
      <c r="N70" s="4"/>
      <c r="O70" s="5"/>
    </row>
    <row r="71" spans="2:15">
      <c r="B71" s="4">
        <v>63</v>
      </c>
      <c r="C71" s="4"/>
      <c r="D71" s="5"/>
      <c r="E71" s="5"/>
      <c r="F71" s="5"/>
      <c r="G71" s="5"/>
      <c r="H71" s="5"/>
      <c r="I71" s="4"/>
      <c r="J71" s="14"/>
      <c r="K71" s="14"/>
      <c r="L71" s="14"/>
      <c r="M71" s="5"/>
      <c r="N71" s="4"/>
      <c r="O71" s="5"/>
    </row>
    <row r="72" spans="2:15">
      <c r="B72" s="4">
        <v>64</v>
      </c>
      <c r="C72" s="4"/>
      <c r="D72" s="5"/>
      <c r="E72" s="5"/>
      <c r="F72" s="5"/>
      <c r="G72" s="5"/>
      <c r="H72" s="5"/>
      <c r="I72" s="4"/>
      <c r="J72" s="14"/>
      <c r="K72" s="14"/>
      <c r="L72" s="14"/>
      <c r="M72" s="5"/>
      <c r="N72" s="4"/>
      <c r="O72" s="5"/>
    </row>
    <row r="73" spans="2:15">
      <c r="B73" s="4">
        <v>65</v>
      </c>
      <c r="C73" s="4"/>
      <c r="D73" s="5"/>
      <c r="E73" s="5"/>
      <c r="F73" s="5"/>
      <c r="G73" s="5"/>
      <c r="H73" s="5"/>
      <c r="I73" s="4"/>
      <c r="J73" s="14"/>
      <c r="K73" s="14"/>
      <c r="L73" s="14"/>
      <c r="M73" s="5"/>
      <c r="N73" s="4"/>
      <c r="O73" s="5"/>
    </row>
    <row r="74" spans="2:15">
      <c r="B74" s="4">
        <v>66</v>
      </c>
      <c r="C74" s="4"/>
      <c r="D74" s="5"/>
      <c r="E74" s="5"/>
      <c r="F74" s="5"/>
      <c r="G74" s="5"/>
      <c r="H74" s="5"/>
      <c r="I74" s="4"/>
      <c r="J74" s="14"/>
      <c r="K74" s="14"/>
      <c r="L74" s="14"/>
      <c r="M74" s="5"/>
      <c r="N74" s="4"/>
      <c r="O74" s="5"/>
    </row>
    <row r="75" spans="2:15">
      <c r="B75" s="4">
        <v>67</v>
      </c>
      <c r="C75" s="4"/>
      <c r="D75" s="5"/>
      <c r="E75" s="5"/>
      <c r="F75" s="5"/>
      <c r="G75" s="5"/>
      <c r="H75" s="5"/>
      <c r="I75" s="4"/>
      <c r="J75" s="14"/>
      <c r="K75" s="14"/>
      <c r="L75" s="14"/>
      <c r="M75" s="5"/>
      <c r="N75" s="4"/>
      <c r="O75" s="5"/>
    </row>
    <row r="76" spans="2:15">
      <c r="B76" s="4">
        <v>68</v>
      </c>
      <c r="C76" s="4"/>
      <c r="D76" s="5"/>
      <c r="E76" s="5"/>
      <c r="F76" s="5"/>
      <c r="G76" s="5"/>
      <c r="H76" s="5"/>
      <c r="I76" s="4"/>
      <c r="J76" s="13"/>
      <c r="K76" s="13"/>
      <c r="L76" s="13"/>
      <c r="M76" s="5"/>
      <c r="N76" s="4"/>
      <c r="O76" s="5"/>
    </row>
    <row r="77" spans="2:15">
      <c r="B77" s="4">
        <v>69</v>
      </c>
      <c r="C77" s="4"/>
      <c r="D77" s="5"/>
      <c r="E77" s="5"/>
      <c r="F77" s="5"/>
      <c r="G77" s="5"/>
      <c r="H77" s="5"/>
      <c r="I77" s="4"/>
      <c r="J77" s="13"/>
      <c r="K77" s="13"/>
      <c r="L77" s="13"/>
      <c r="M77" s="5"/>
      <c r="N77" s="4"/>
      <c r="O77" s="5"/>
    </row>
    <row r="78" spans="2:15">
      <c r="B78" s="4">
        <v>70</v>
      </c>
      <c r="C78" s="4"/>
      <c r="D78" s="5"/>
      <c r="E78" s="5"/>
      <c r="F78" s="5"/>
      <c r="G78" s="5"/>
      <c r="H78" s="5"/>
      <c r="I78" s="4"/>
      <c r="J78" s="13"/>
      <c r="K78" s="13"/>
      <c r="L78" s="13"/>
      <c r="M78" s="5"/>
      <c r="N78" s="4"/>
      <c r="O78" s="5"/>
    </row>
    <row r="79" spans="2:15">
      <c r="B79" s="4">
        <v>71</v>
      </c>
      <c r="C79" s="4"/>
      <c r="D79" s="5"/>
      <c r="E79" s="5"/>
      <c r="F79" s="5"/>
      <c r="G79" s="5"/>
      <c r="H79" s="5"/>
      <c r="I79" s="4"/>
      <c r="J79" s="13"/>
      <c r="K79" s="13"/>
      <c r="L79" s="13"/>
      <c r="M79" s="5"/>
      <c r="N79" s="4"/>
      <c r="O79" s="5"/>
    </row>
    <row r="80" spans="2:15">
      <c r="B80" s="4">
        <v>72</v>
      </c>
      <c r="C80" s="4"/>
      <c r="D80" s="5"/>
      <c r="E80" s="5"/>
      <c r="F80" s="5"/>
      <c r="G80" s="5"/>
      <c r="H80" s="5"/>
      <c r="I80" s="4"/>
      <c r="J80" s="13"/>
      <c r="K80" s="13"/>
      <c r="L80" s="13"/>
      <c r="M80" s="5"/>
      <c r="N80" s="4"/>
      <c r="O80" s="5"/>
    </row>
    <row r="81" spans="2:15">
      <c r="B81" s="4">
        <v>73</v>
      </c>
      <c r="C81" s="4"/>
      <c r="D81" s="5"/>
      <c r="E81" s="5"/>
      <c r="F81" s="5"/>
      <c r="G81" s="5"/>
      <c r="H81" s="5"/>
      <c r="I81" s="4"/>
      <c r="J81" s="13"/>
      <c r="K81" s="13"/>
      <c r="L81" s="13"/>
      <c r="M81" s="5"/>
      <c r="N81" s="4"/>
      <c r="O81" s="5"/>
    </row>
    <row r="82" spans="2:15">
      <c r="B82" s="4">
        <v>74</v>
      </c>
      <c r="C82" s="4"/>
      <c r="D82" s="5"/>
      <c r="E82" s="5"/>
      <c r="F82" s="5"/>
      <c r="G82" s="5"/>
      <c r="H82" s="5"/>
      <c r="I82" s="4"/>
      <c r="J82" s="13"/>
      <c r="K82" s="13"/>
      <c r="L82" s="13"/>
      <c r="M82" s="5"/>
      <c r="N82" s="4"/>
      <c r="O82" s="5"/>
    </row>
    <row r="83" spans="2:15">
      <c r="B83" s="4">
        <v>75</v>
      </c>
      <c r="C83" s="4"/>
      <c r="D83" s="5"/>
      <c r="E83" s="5"/>
      <c r="F83" s="5"/>
      <c r="G83" s="5"/>
      <c r="H83" s="5"/>
      <c r="I83" s="4"/>
      <c r="J83" s="13"/>
      <c r="K83" s="13"/>
      <c r="L83" s="13"/>
      <c r="M83" s="5"/>
      <c r="N83" s="4"/>
      <c r="O83" s="5"/>
    </row>
    <row r="84" spans="2:15">
      <c r="B84" s="4">
        <v>76</v>
      </c>
      <c r="C84" s="4"/>
      <c r="D84" s="5"/>
      <c r="E84" s="5"/>
      <c r="F84" s="5"/>
      <c r="G84" s="5"/>
      <c r="H84" s="5"/>
      <c r="I84" s="4"/>
      <c r="J84" s="13"/>
      <c r="K84" s="13"/>
      <c r="L84" s="13"/>
      <c r="M84" s="5"/>
      <c r="N84" s="4"/>
      <c r="O84" s="5"/>
    </row>
    <row r="85" spans="2:15">
      <c r="B85" s="4">
        <v>77</v>
      </c>
      <c r="C85" s="4"/>
      <c r="D85" s="5"/>
      <c r="E85" s="5"/>
      <c r="F85" s="5"/>
      <c r="G85" s="5"/>
      <c r="H85" s="5"/>
      <c r="I85" s="4"/>
      <c r="J85" s="13"/>
      <c r="K85" s="13"/>
      <c r="L85" s="13"/>
      <c r="M85" s="5"/>
      <c r="N85" s="4"/>
      <c r="O85" s="5"/>
    </row>
    <row r="86" spans="2:15">
      <c r="B86" s="4">
        <v>78</v>
      </c>
      <c r="C86" s="4"/>
      <c r="D86" s="5"/>
      <c r="E86" s="5"/>
      <c r="F86" s="5"/>
      <c r="G86" s="5"/>
      <c r="H86" s="5"/>
      <c r="I86" s="4"/>
      <c r="J86" s="13"/>
      <c r="K86" s="13"/>
      <c r="L86" s="13"/>
      <c r="M86" s="5"/>
      <c r="N86" s="4"/>
      <c r="O86" s="5"/>
    </row>
    <row r="87" spans="2:15">
      <c r="B87" s="4">
        <v>79</v>
      </c>
      <c r="C87" s="4"/>
      <c r="D87" s="5"/>
      <c r="E87" s="5"/>
      <c r="F87" s="5"/>
      <c r="G87" s="5"/>
      <c r="H87" s="5"/>
      <c r="I87" s="4"/>
      <c r="J87" s="13"/>
      <c r="K87" s="13"/>
      <c r="L87" s="13"/>
      <c r="M87" s="5"/>
      <c r="N87" s="4"/>
      <c r="O87" s="5"/>
    </row>
    <row r="88" spans="2:15">
      <c r="B88" s="4">
        <v>80</v>
      </c>
      <c r="C88" s="4"/>
      <c r="D88" s="5"/>
      <c r="E88" s="5"/>
      <c r="F88" s="5"/>
      <c r="G88" s="5"/>
      <c r="H88" s="5"/>
      <c r="I88" s="4"/>
      <c r="J88" s="13"/>
      <c r="K88" s="13"/>
      <c r="L88" s="13"/>
      <c r="M88" s="5"/>
      <c r="N88" s="4"/>
      <c r="O88" s="5"/>
    </row>
    <row r="89" spans="2:15">
      <c r="B89" s="4">
        <v>81</v>
      </c>
      <c r="C89" s="4"/>
      <c r="D89" s="5"/>
      <c r="E89" s="5"/>
      <c r="F89" s="5"/>
      <c r="G89" s="5"/>
      <c r="H89" s="5"/>
      <c r="I89" s="4"/>
      <c r="J89" s="13"/>
      <c r="K89" s="13"/>
      <c r="L89" s="13"/>
      <c r="M89" s="5"/>
      <c r="N89" s="4"/>
      <c r="O89" s="5"/>
    </row>
    <row r="90" spans="2:15">
      <c r="B90" s="4">
        <v>82</v>
      </c>
      <c r="C90" s="4"/>
      <c r="D90" s="5"/>
      <c r="E90" s="5"/>
      <c r="F90" s="5"/>
      <c r="G90" s="5"/>
      <c r="H90" s="5"/>
      <c r="I90" s="4"/>
      <c r="J90" s="13"/>
      <c r="K90" s="13"/>
      <c r="L90" s="13"/>
      <c r="M90" s="5"/>
      <c r="N90" s="4"/>
      <c r="O90" s="5"/>
    </row>
    <row r="91" spans="2:15">
      <c r="B91" s="4">
        <v>83</v>
      </c>
      <c r="C91" s="4"/>
      <c r="D91" s="5"/>
      <c r="E91" s="5"/>
      <c r="F91" s="5"/>
      <c r="G91" s="5"/>
      <c r="H91" s="5"/>
      <c r="I91" s="4"/>
      <c r="J91" s="13"/>
      <c r="K91" s="13"/>
      <c r="L91" s="13"/>
      <c r="M91" s="5"/>
      <c r="N91" s="4"/>
      <c r="O91" s="5"/>
    </row>
    <row r="92" spans="2:15">
      <c r="B92" s="4">
        <v>84</v>
      </c>
      <c r="C92" s="4"/>
      <c r="D92" s="5"/>
      <c r="E92" s="5"/>
      <c r="F92" s="5"/>
      <c r="G92" s="5"/>
      <c r="H92" s="5"/>
      <c r="I92" s="4"/>
      <c r="J92" s="13"/>
      <c r="K92" s="13"/>
      <c r="L92" s="13"/>
      <c r="M92" s="5"/>
      <c r="N92" s="4"/>
      <c r="O92" s="5"/>
    </row>
    <row r="93" spans="2:15">
      <c r="B93" s="4">
        <v>85</v>
      </c>
      <c r="C93" s="4"/>
      <c r="D93" s="5"/>
      <c r="E93" s="5"/>
      <c r="F93" s="5"/>
      <c r="G93" s="5"/>
      <c r="H93" s="5"/>
      <c r="I93" s="4"/>
      <c r="J93" s="13"/>
      <c r="K93" s="13"/>
      <c r="L93" s="13"/>
      <c r="M93" s="5"/>
      <c r="N93" s="4"/>
      <c r="O93" s="5"/>
    </row>
    <row r="94" spans="2:15">
      <c r="B94" s="4">
        <v>86</v>
      </c>
      <c r="C94" s="4"/>
      <c r="D94" s="5"/>
      <c r="E94" s="5"/>
      <c r="F94" s="5"/>
      <c r="G94" s="5"/>
      <c r="H94" s="5"/>
      <c r="I94" s="4"/>
      <c r="J94" s="13"/>
      <c r="K94" s="13"/>
      <c r="L94" s="13"/>
      <c r="M94" s="5"/>
      <c r="N94" s="4"/>
      <c r="O94" s="5"/>
    </row>
    <row r="95" spans="2:15">
      <c r="B95" s="4">
        <v>87</v>
      </c>
      <c r="C95" s="4"/>
      <c r="D95" s="5"/>
      <c r="E95" s="5"/>
      <c r="F95" s="5"/>
      <c r="G95" s="5"/>
      <c r="H95" s="5"/>
      <c r="I95" s="4"/>
      <c r="J95" s="13"/>
      <c r="K95" s="13"/>
      <c r="L95" s="13"/>
      <c r="M95" s="5"/>
      <c r="N95" s="4"/>
      <c r="O95" s="5"/>
    </row>
    <row r="96" spans="2:15">
      <c r="B96" s="4">
        <v>88</v>
      </c>
      <c r="C96" s="4"/>
      <c r="D96" s="5"/>
      <c r="E96" s="5"/>
      <c r="F96" s="5"/>
      <c r="G96" s="5"/>
      <c r="H96" s="5"/>
      <c r="I96" s="4"/>
      <c r="J96" s="13"/>
      <c r="K96" s="13"/>
      <c r="L96" s="13"/>
      <c r="M96" s="5"/>
      <c r="N96" s="4"/>
      <c r="O96" s="5"/>
    </row>
    <row r="97" spans="2:15">
      <c r="B97" s="4">
        <v>89</v>
      </c>
      <c r="C97" s="4"/>
      <c r="D97" s="5"/>
      <c r="E97" s="5"/>
      <c r="F97" s="5"/>
      <c r="G97" s="5"/>
      <c r="H97" s="5"/>
      <c r="I97" s="4"/>
      <c r="J97" s="13"/>
      <c r="K97" s="13"/>
      <c r="L97" s="13"/>
      <c r="M97" s="5"/>
      <c r="N97" s="4"/>
      <c r="O97" s="5"/>
    </row>
    <row r="98" spans="2:15">
      <c r="B98" s="4">
        <v>90</v>
      </c>
      <c r="C98" s="4"/>
      <c r="D98" s="5"/>
      <c r="E98" s="5"/>
      <c r="F98" s="5"/>
      <c r="G98" s="5"/>
      <c r="H98" s="5"/>
      <c r="I98" s="4"/>
      <c r="J98" s="13"/>
      <c r="K98" s="13"/>
      <c r="L98" s="13"/>
      <c r="M98" s="5"/>
      <c r="N98" s="4"/>
      <c r="O98" s="5"/>
    </row>
    <row r="99" spans="2:15">
      <c r="B99" s="4">
        <v>91</v>
      </c>
      <c r="C99" s="4"/>
      <c r="D99" s="5"/>
      <c r="E99" s="5"/>
      <c r="F99" s="5"/>
      <c r="G99" s="5"/>
      <c r="H99" s="5"/>
      <c r="I99" s="4"/>
      <c r="J99" s="13"/>
      <c r="K99" s="13"/>
      <c r="L99" s="13"/>
      <c r="M99" s="5"/>
      <c r="N99" s="4"/>
      <c r="O99" s="5"/>
    </row>
    <row r="100" spans="2:15">
      <c r="B100" s="4">
        <v>92</v>
      </c>
      <c r="C100" s="4"/>
      <c r="D100" s="5"/>
      <c r="E100" s="5"/>
      <c r="F100" s="5"/>
      <c r="G100" s="5"/>
      <c r="H100" s="5"/>
      <c r="I100" s="4"/>
      <c r="J100" s="13"/>
      <c r="K100" s="13"/>
      <c r="L100" s="13"/>
      <c r="M100" s="5"/>
      <c r="N100" s="4"/>
      <c r="O100" s="5"/>
    </row>
    <row r="101" spans="2:15">
      <c r="B101" s="4">
        <v>93</v>
      </c>
      <c r="C101" s="4"/>
      <c r="D101" s="5"/>
      <c r="E101" s="5"/>
      <c r="F101" s="5"/>
      <c r="G101" s="5"/>
      <c r="H101" s="5"/>
      <c r="I101" s="4"/>
      <c r="J101" s="13"/>
      <c r="K101" s="13"/>
      <c r="L101" s="13"/>
      <c r="M101" s="5"/>
      <c r="N101" s="4"/>
      <c r="O101" s="5"/>
    </row>
    <row r="102" spans="2:15">
      <c r="B102" s="4">
        <v>94</v>
      </c>
      <c r="C102" s="4"/>
      <c r="D102" s="5"/>
      <c r="E102" s="5"/>
      <c r="F102" s="5"/>
      <c r="G102" s="5"/>
      <c r="H102" s="5"/>
      <c r="I102" s="4"/>
      <c r="J102" s="13"/>
      <c r="K102" s="13"/>
      <c r="L102" s="13"/>
      <c r="M102" s="5"/>
      <c r="N102" s="4"/>
      <c r="O102" s="5"/>
    </row>
    <row r="103" spans="2:15">
      <c r="B103" s="4">
        <v>95</v>
      </c>
      <c r="C103" s="4"/>
      <c r="D103" s="5"/>
      <c r="E103" s="5"/>
      <c r="F103" s="5"/>
      <c r="G103" s="5"/>
      <c r="H103" s="5"/>
      <c r="I103" s="4"/>
      <c r="J103" s="13"/>
      <c r="K103" s="13"/>
      <c r="L103" s="13"/>
      <c r="M103" s="5"/>
      <c r="N103" s="4"/>
      <c r="O103" s="5"/>
    </row>
    <row r="104" spans="2:15">
      <c r="B104" s="4">
        <v>96</v>
      </c>
      <c r="C104" s="4"/>
      <c r="D104" s="5"/>
      <c r="E104" s="5"/>
      <c r="F104" s="5"/>
      <c r="G104" s="5"/>
      <c r="H104" s="5"/>
      <c r="I104" s="4"/>
      <c r="J104" s="13"/>
      <c r="K104" s="13"/>
      <c r="L104" s="13"/>
      <c r="M104" s="5"/>
      <c r="N104" s="4"/>
      <c r="O104" s="5"/>
    </row>
    <row r="105" spans="2:15">
      <c r="B105" s="4">
        <v>97</v>
      </c>
      <c r="C105" s="4"/>
      <c r="D105" s="5"/>
      <c r="E105" s="5"/>
      <c r="F105" s="5"/>
      <c r="G105" s="5"/>
      <c r="H105" s="5"/>
      <c r="I105" s="4"/>
      <c r="J105" s="13"/>
      <c r="K105" s="13"/>
      <c r="L105" s="13"/>
      <c r="M105" s="5"/>
      <c r="N105" s="4"/>
      <c r="O105" s="5"/>
    </row>
    <row r="106" spans="2:15">
      <c r="B106" s="4">
        <v>98</v>
      </c>
      <c r="C106" s="4"/>
      <c r="D106" s="5"/>
      <c r="E106" s="5"/>
      <c r="F106" s="5"/>
      <c r="G106" s="5"/>
      <c r="H106" s="5"/>
      <c r="I106" s="4"/>
      <c r="J106" s="13"/>
      <c r="K106" s="13"/>
      <c r="L106" s="13"/>
      <c r="M106" s="5"/>
      <c r="N106" s="4"/>
      <c r="O106" s="5"/>
    </row>
    <row r="107" spans="2:15">
      <c r="B107" s="4">
        <v>99</v>
      </c>
      <c r="C107" s="4"/>
      <c r="D107" s="5"/>
      <c r="E107" s="5"/>
      <c r="F107" s="5"/>
      <c r="G107" s="5"/>
      <c r="H107" s="5"/>
      <c r="I107" s="4"/>
      <c r="J107" s="13"/>
      <c r="K107" s="13"/>
      <c r="L107" s="13"/>
      <c r="M107" s="5"/>
      <c r="N107" s="4"/>
      <c r="O107" s="5"/>
    </row>
    <row r="108" spans="2:15">
      <c r="B108" s="4">
        <v>100</v>
      </c>
      <c r="C108" s="4"/>
      <c r="D108" s="5"/>
      <c r="E108" s="5"/>
      <c r="F108" s="5"/>
      <c r="G108" s="5"/>
      <c r="H108" s="5"/>
      <c r="I108" s="4"/>
      <c r="J108" s="4"/>
      <c r="K108" s="4"/>
      <c r="L108" s="4"/>
      <c r="M108" s="5"/>
      <c r="N108" s="4"/>
      <c r="O108" s="5"/>
    </row>
    <row r="109" spans="2:15">
      <c r="B109" s="4">
        <v>101</v>
      </c>
      <c r="C109" s="4"/>
      <c r="D109" s="5"/>
      <c r="E109" s="5"/>
      <c r="F109" s="5"/>
      <c r="G109" s="5"/>
      <c r="H109" s="5"/>
      <c r="I109" s="4"/>
      <c r="J109" s="4"/>
      <c r="K109" s="4"/>
      <c r="L109" s="4"/>
      <c r="M109" s="5"/>
      <c r="N109" s="4"/>
      <c r="O109" s="5"/>
    </row>
    <row r="110" spans="2:15">
      <c r="B110" s="4">
        <v>102</v>
      </c>
      <c r="C110" s="4"/>
      <c r="D110" s="5"/>
      <c r="E110" s="5"/>
      <c r="F110" s="5"/>
      <c r="G110" s="5"/>
      <c r="H110" s="5"/>
      <c r="I110" s="4"/>
      <c r="J110" s="4"/>
      <c r="K110" s="4"/>
      <c r="L110" s="4"/>
      <c r="M110" s="5"/>
      <c r="N110" s="4"/>
      <c r="O110" s="5"/>
    </row>
    <row r="111" spans="2:15">
      <c r="B111" s="4">
        <v>103</v>
      </c>
      <c r="C111" s="4"/>
      <c r="D111" s="5"/>
      <c r="E111" s="5"/>
      <c r="F111" s="5"/>
      <c r="G111" s="5"/>
      <c r="H111" s="5"/>
      <c r="I111" s="4"/>
      <c r="J111" s="4"/>
      <c r="K111" s="4"/>
      <c r="L111" s="4"/>
      <c r="M111" s="5"/>
      <c r="N111" s="4"/>
      <c r="O111" s="5"/>
    </row>
    <row r="112" spans="2:15">
      <c r="B112" s="4">
        <v>104</v>
      </c>
      <c r="C112" s="4"/>
      <c r="D112" s="5"/>
      <c r="E112" s="5"/>
      <c r="F112" s="5"/>
      <c r="G112" s="5"/>
      <c r="H112" s="5"/>
      <c r="I112" s="4"/>
      <c r="J112" s="4"/>
      <c r="K112" s="4"/>
      <c r="L112" s="4"/>
      <c r="M112" s="5"/>
      <c r="N112" s="4"/>
      <c r="O112" s="5"/>
    </row>
    <row r="113" spans="2:15">
      <c r="B113" s="4">
        <v>105</v>
      </c>
      <c r="C113" s="4"/>
      <c r="D113" s="5"/>
      <c r="E113" s="5"/>
      <c r="F113" s="5"/>
      <c r="G113" s="5"/>
      <c r="H113" s="5"/>
      <c r="I113" s="4"/>
      <c r="J113" s="4"/>
      <c r="K113" s="4"/>
      <c r="L113" s="4"/>
      <c r="M113" s="5"/>
      <c r="N113" s="4"/>
      <c r="O113" s="5"/>
    </row>
    <row r="114" spans="2:15">
      <c r="B114" s="4">
        <v>106</v>
      </c>
      <c r="C114" s="4"/>
      <c r="D114" s="5"/>
      <c r="E114" s="5"/>
      <c r="F114" s="5"/>
      <c r="G114" s="5"/>
      <c r="H114" s="5"/>
      <c r="I114" s="4"/>
      <c r="J114" s="4"/>
      <c r="K114" s="4"/>
      <c r="L114" s="4"/>
      <c r="M114" s="5"/>
      <c r="N114" s="4"/>
      <c r="O114" s="5"/>
    </row>
    <row r="115" spans="2:15">
      <c r="B115" s="4">
        <v>107</v>
      </c>
      <c r="C115" s="4"/>
      <c r="D115" s="5"/>
      <c r="E115" s="5"/>
      <c r="F115" s="5"/>
      <c r="G115" s="5"/>
      <c r="H115" s="5"/>
      <c r="I115" s="4"/>
      <c r="J115" s="4"/>
      <c r="K115" s="4"/>
      <c r="L115" s="4"/>
      <c r="M115" s="5"/>
      <c r="N115" s="4"/>
      <c r="O115" s="5"/>
    </row>
    <row r="116" spans="2:15">
      <c r="B116" s="4">
        <v>108</v>
      </c>
      <c r="C116" s="4"/>
      <c r="D116" s="5"/>
      <c r="E116" s="5"/>
      <c r="F116" s="5"/>
      <c r="G116" s="5"/>
      <c r="H116" s="5"/>
      <c r="I116" s="4"/>
      <c r="J116" s="4"/>
      <c r="K116" s="4"/>
      <c r="L116" s="4"/>
      <c r="M116" s="5"/>
      <c r="N116" s="4"/>
      <c r="O116" s="5"/>
    </row>
    <row r="117" spans="2:15">
      <c r="B117" s="4">
        <v>109</v>
      </c>
      <c r="C117" s="4"/>
      <c r="D117" s="5"/>
      <c r="E117" s="5"/>
      <c r="F117" s="5"/>
      <c r="G117" s="5"/>
      <c r="H117" s="5"/>
      <c r="I117" s="4"/>
      <c r="J117" s="4"/>
      <c r="K117" s="4"/>
      <c r="L117" s="4"/>
      <c r="M117" s="5"/>
      <c r="N117" s="4"/>
      <c r="O117" s="5"/>
    </row>
    <row r="118" spans="2:15">
      <c r="B118" s="4">
        <v>110</v>
      </c>
      <c r="C118" s="4"/>
      <c r="D118" s="5"/>
      <c r="E118" s="5"/>
      <c r="F118" s="5"/>
      <c r="G118" s="5"/>
      <c r="H118" s="5"/>
      <c r="I118" s="4"/>
      <c r="J118" s="4"/>
      <c r="K118" s="4"/>
      <c r="L118" s="4"/>
      <c r="M118" s="5"/>
      <c r="N118" s="4"/>
      <c r="O118" s="5"/>
    </row>
    <row r="119" spans="2:15">
      <c r="B119" s="4">
        <v>111</v>
      </c>
      <c r="C119" s="4"/>
      <c r="D119" s="5"/>
      <c r="E119" s="5"/>
      <c r="F119" s="5"/>
      <c r="G119" s="5"/>
      <c r="H119" s="5"/>
      <c r="I119" s="4"/>
      <c r="J119" s="4"/>
      <c r="K119" s="4"/>
      <c r="L119" s="4"/>
      <c r="M119" s="5"/>
      <c r="N119" s="4"/>
      <c r="O119" s="5"/>
    </row>
    <row r="120" spans="2:15">
      <c r="B120" s="4">
        <v>112</v>
      </c>
      <c r="C120" s="4"/>
      <c r="D120" s="5"/>
      <c r="E120" s="5"/>
      <c r="F120" s="5"/>
      <c r="G120" s="5"/>
      <c r="H120" s="5"/>
      <c r="I120" s="4"/>
      <c r="J120" s="4"/>
      <c r="K120" s="4"/>
      <c r="L120" s="4"/>
      <c r="M120" s="5"/>
      <c r="N120" s="4"/>
      <c r="O120" s="5"/>
    </row>
    <row r="121" spans="2:15">
      <c r="B121" s="4">
        <v>113</v>
      </c>
      <c r="C121" s="4"/>
      <c r="D121" s="5"/>
      <c r="E121" s="5"/>
      <c r="F121" s="5"/>
      <c r="G121" s="5"/>
      <c r="H121" s="5"/>
      <c r="I121" s="4"/>
      <c r="J121" s="4"/>
      <c r="K121" s="4"/>
      <c r="L121" s="4"/>
      <c r="M121" s="5"/>
      <c r="N121" s="4"/>
      <c r="O121" s="5"/>
    </row>
    <row r="122" spans="2:15">
      <c r="B122" s="4">
        <v>114</v>
      </c>
      <c r="C122" s="4"/>
      <c r="D122" s="5"/>
      <c r="E122" s="5"/>
      <c r="F122" s="5"/>
      <c r="G122" s="5"/>
      <c r="H122" s="5"/>
      <c r="I122" s="4"/>
      <c r="J122" s="4"/>
      <c r="K122" s="4"/>
      <c r="L122" s="4"/>
      <c r="M122" s="5"/>
      <c r="N122" s="4"/>
      <c r="O122" s="5"/>
    </row>
    <row r="123" spans="2:15">
      <c r="B123" s="4">
        <v>115</v>
      </c>
      <c r="C123" s="4"/>
      <c r="D123" s="5"/>
      <c r="E123" s="5"/>
      <c r="F123" s="5"/>
      <c r="G123" s="5"/>
      <c r="H123" s="5"/>
      <c r="I123" s="4"/>
      <c r="J123" s="4"/>
      <c r="K123" s="4"/>
      <c r="L123" s="4"/>
      <c r="M123" s="5"/>
      <c r="N123" s="4"/>
      <c r="O123" s="5"/>
    </row>
    <row r="124" spans="2:15">
      <c r="B124" s="4">
        <v>116</v>
      </c>
      <c r="C124" s="4"/>
      <c r="D124" s="5"/>
      <c r="E124" s="5"/>
      <c r="F124" s="5"/>
      <c r="G124" s="5"/>
      <c r="H124" s="5"/>
      <c r="I124" s="4"/>
      <c r="J124" s="4"/>
      <c r="K124" s="4"/>
      <c r="L124" s="4"/>
      <c r="M124" s="5"/>
      <c r="N124" s="4"/>
      <c r="O124" s="5"/>
    </row>
    <row r="125" spans="2:15">
      <c r="B125" s="4">
        <v>117</v>
      </c>
      <c r="C125" s="4"/>
      <c r="D125" s="5"/>
      <c r="E125" s="5"/>
      <c r="F125" s="5"/>
      <c r="G125" s="5"/>
      <c r="H125" s="5"/>
      <c r="I125" s="4"/>
      <c r="J125" s="4"/>
      <c r="K125" s="4"/>
      <c r="L125" s="4"/>
      <c r="M125" s="5"/>
      <c r="N125" s="4"/>
      <c r="O125" s="5"/>
    </row>
    <row r="126" spans="2:15">
      <c r="B126" s="4">
        <v>118</v>
      </c>
      <c r="C126" s="4"/>
      <c r="D126" s="5"/>
      <c r="E126" s="5"/>
      <c r="F126" s="5"/>
      <c r="G126" s="5"/>
      <c r="H126" s="5"/>
      <c r="I126" s="4"/>
      <c r="J126" s="4"/>
      <c r="K126" s="4"/>
      <c r="L126" s="4"/>
      <c r="M126" s="5"/>
      <c r="N126" s="4"/>
      <c r="O126" s="5"/>
    </row>
    <row r="127" spans="2:15">
      <c r="B127" s="4">
        <v>119</v>
      </c>
      <c r="C127" s="4"/>
      <c r="D127" s="5"/>
      <c r="E127" s="5"/>
      <c r="F127" s="5"/>
      <c r="G127" s="5"/>
      <c r="H127" s="5"/>
      <c r="I127" s="4"/>
      <c r="J127" s="4"/>
      <c r="K127" s="4"/>
      <c r="L127" s="4"/>
      <c r="M127" s="5"/>
      <c r="N127" s="4"/>
      <c r="O127" s="5"/>
    </row>
    <row r="128" spans="2:15">
      <c r="B128" s="4">
        <v>120</v>
      </c>
      <c r="C128" s="4"/>
      <c r="D128" s="5"/>
      <c r="E128" s="5"/>
      <c r="F128" s="5"/>
      <c r="G128" s="5"/>
      <c r="H128" s="5"/>
      <c r="I128" s="4"/>
      <c r="J128" s="4"/>
      <c r="K128" s="4"/>
      <c r="L128" s="4"/>
      <c r="M128" s="5"/>
      <c r="N128" s="4"/>
      <c r="O128" s="5"/>
    </row>
    <row r="129" spans="2:15">
      <c r="B129" s="4">
        <v>121</v>
      </c>
      <c r="C129" s="4"/>
      <c r="D129" s="5"/>
      <c r="E129" s="5"/>
      <c r="F129" s="5"/>
      <c r="G129" s="5"/>
      <c r="H129" s="5"/>
      <c r="I129" s="4"/>
      <c r="J129" s="4"/>
      <c r="K129" s="4"/>
      <c r="L129" s="4"/>
      <c r="M129" s="5"/>
      <c r="N129" s="4"/>
      <c r="O129" s="5"/>
    </row>
    <row r="130" spans="2:15">
      <c r="B130" s="4">
        <v>122</v>
      </c>
      <c r="C130" s="4"/>
      <c r="D130" s="5"/>
      <c r="E130" s="5"/>
      <c r="F130" s="5"/>
      <c r="G130" s="5"/>
      <c r="H130" s="5"/>
      <c r="I130" s="4"/>
      <c r="J130" s="4"/>
      <c r="K130" s="4"/>
      <c r="L130" s="4"/>
      <c r="M130" s="5"/>
      <c r="N130" s="4"/>
      <c r="O130" s="5"/>
    </row>
    <row r="131" spans="2:15">
      <c r="B131" s="4">
        <v>123</v>
      </c>
      <c r="C131" s="4"/>
      <c r="D131" s="5"/>
      <c r="E131" s="5"/>
      <c r="F131" s="5"/>
      <c r="G131" s="5"/>
      <c r="H131" s="5"/>
      <c r="I131" s="4"/>
      <c r="J131" s="4"/>
      <c r="K131" s="4"/>
      <c r="L131" s="4"/>
      <c r="M131" s="5"/>
      <c r="N131" s="4"/>
      <c r="O131" s="5"/>
    </row>
    <row r="132" spans="2:15">
      <c r="B132" s="4">
        <v>124</v>
      </c>
      <c r="C132" s="4"/>
      <c r="D132" s="5"/>
      <c r="E132" s="5"/>
      <c r="F132" s="5"/>
      <c r="G132" s="5"/>
      <c r="H132" s="5"/>
      <c r="I132" s="4"/>
      <c r="J132" s="4"/>
      <c r="K132" s="4"/>
      <c r="L132" s="4"/>
      <c r="M132" s="5"/>
      <c r="N132" s="4"/>
      <c r="O132" s="5"/>
    </row>
    <row r="133" spans="2:15">
      <c r="B133" s="4">
        <v>125</v>
      </c>
      <c r="C133" s="4"/>
      <c r="D133" s="5"/>
      <c r="E133" s="5"/>
      <c r="F133" s="5"/>
      <c r="G133" s="5"/>
      <c r="H133" s="5"/>
      <c r="I133" s="4"/>
      <c r="J133" s="4"/>
      <c r="K133" s="4"/>
      <c r="L133" s="4"/>
      <c r="M133" s="5"/>
      <c r="N133" s="4"/>
      <c r="O133" s="5"/>
    </row>
    <row r="134" spans="2:15">
      <c r="B134" s="4">
        <v>126</v>
      </c>
      <c r="C134" s="4"/>
      <c r="D134" s="5"/>
      <c r="E134" s="5"/>
      <c r="F134" s="5"/>
      <c r="G134" s="5"/>
      <c r="H134" s="5"/>
      <c r="I134" s="4"/>
      <c r="J134" s="4"/>
      <c r="K134" s="4"/>
      <c r="L134" s="4"/>
      <c r="M134" s="5"/>
      <c r="N134" s="4"/>
      <c r="O134" s="5"/>
    </row>
    <row r="135" spans="2:15">
      <c r="B135" s="4">
        <v>127</v>
      </c>
      <c r="C135" s="4"/>
      <c r="D135" s="5"/>
      <c r="E135" s="5"/>
      <c r="F135" s="5"/>
      <c r="G135" s="5"/>
      <c r="H135" s="5"/>
      <c r="I135" s="4"/>
      <c r="J135" s="4"/>
      <c r="K135" s="4"/>
      <c r="L135" s="4"/>
      <c r="M135" s="5"/>
      <c r="N135" s="4"/>
      <c r="O135" s="5"/>
    </row>
    <row r="136" spans="2:15">
      <c r="B136" s="4">
        <v>128</v>
      </c>
      <c r="C136" s="4"/>
      <c r="D136" s="5"/>
      <c r="E136" s="5"/>
      <c r="F136" s="5"/>
      <c r="G136" s="5"/>
      <c r="H136" s="5"/>
      <c r="I136" s="4"/>
      <c r="J136" s="4"/>
      <c r="K136" s="4"/>
      <c r="L136" s="4"/>
      <c r="M136" s="5"/>
      <c r="N136" s="4"/>
      <c r="O136" s="5"/>
    </row>
    <row r="137" spans="2:15">
      <c r="B137" s="4">
        <v>129</v>
      </c>
      <c r="C137" s="4"/>
      <c r="D137" s="5"/>
      <c r="E137" s="5"/>
      <c r="F137" s="5"/>
      <c r="G137" s="5"/>
      <c r="H137" s="5"/>
      <c r="I137" s="4"/>
      <c r="J137" s="4"/>
      <c r="K137" s="4"/>
      <c r="L137" s="4"/>
      <c r="M137" s="5"/>
      <c r="N137" s="4"/>
      <c r="O137" s="5"/>
    </row>
  </sheetData>
  <mergeCells count="1">
    <mergeCell ref="B6:O6"/>
  </mergeCells>
  <conditionalFormatting sqref="D9">
    <cfRule type="duplicateValues" dxfId="17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F841-2B04-48F8-BBC9-B8D4551E961E}">
  <sheetPr>
    <tabColor rgb="FF92D050"/>
  </sheetPr>
  <dimension ref="A1:AZ269"/>
  <sheetViews>
    <sheetView tabSelected="1" zoomScale="80" zoomScaleNormal="80" workbookViewId="0">
      <pane ySplit="6" topLeftCell="A262" activePane="bottomLeft" state="frozen"/>
      <selection pane="bottomLeft" activeCell="A270" sqref="A270:XFD271"/>
    </sheetView>
  </sheetViews>
  <sheetFormatPr defaultColWidth="9.140625" defaultRowHeight="12"/>
  <cols>
    <col min="1" max="1" width="4.5703125" style="24" customWidth="1"/>
    <col min="2" max="2" width="5.42578125" style="24" customWidth="1"/>
    <col min="3" max="3" width="29.28515625" style="26" customWidth="1"/>
    <col min="4" max="8" width="9.140625" style="24" hidden="1" customWidth="1"/>
    <col min="9" max="9" width="9.7109375" style="24" hidden="1" customWidth="1"/>
    <col min="10" max="10" width="10.42578125" style="24" hidden="1" customWidth="1"/>
    <col min="11" max="13" width="13.7109375" style="24" hidden="1" customWidth="1"/>
    <col min="14" max="14" width="10.85546875" style="47" customWidth="1"/>
    <col min="15" max="15" width="12.5703125" style="24" customWidth="1"/>
    <col min="16" max="16" width="18.28515625" style="24" customWidth="1"/>
    <col min="17" max="17" width="35.42578125" style="24" customWidth="1"/>
    <col min="18" max="18" width="40.140625" style="24" customWidth="1"/>
    <col min="19" max="20" width="9.140625" style="24" customWidth="1"/>
    <col min="21" max="21" width="11.140625" style="24" hidden="1" customWidth="1"/>
    <col min="22" max="22" width="9.140625" style="24" customWidth="1"/>
    <col min="23" max="23" width="17.7109375" style="24" hidden="1" customWidth="1"/>
    <col min="24" max="24" width="15.42578125" style="24" hidden="1" customWidth="1"/>
    <col min="25" max="25" width="12.5703125" style="24" hidden="1" customWidth="1"/>
    <col min="26" max="26" width="20.42578125" style="24" hidden="1" customWidth="1"/>
    <col min="27" max="27" width="18.7109375" style="24" hidden="1" customWidth="1"/>
    <col min="28" max="28" width="13.28515625" style="24" hidden="1" customWidth="1"/>
    <col min="29" max="29" width="9.140625" style="24" customWidth="1"/>
    <col min="30" max="30" width="34.28515625" style="24" hidden="1" customWidth="1"/>
    <col min="31" max="31" width="10.85546875" style="24" hidden="1" customWidth="1"/>
    <col min="32" max="32" width="34.28515625" style="24" bestFit="1" customWidth="1"/>
    <col min="33" max="33" width="22.140625" style="24" customWidth="1"/>
    <col min="34" max="34" width="15.28515625" style="24" hidden="1" customWidth="1"/>
    <col min="35" max="35" width="15.28515625" style="24" customWidth="1"/>
    <col min="36" max="36" width="3.5703125" style="24" hidden="1" customWidth="1"/>
    <col min="37" max="40" width="10.85546875" style="24" hidden="1" customWidth="1"/>
    <col min="41" max="41" width="8.28515625" style="24" hidden="1" customWidth="1"/>
    <col min="42" max="47" width="10" style="24" hidden="1" customWidth="1"/>
    <col min="48" max="48" width="3.7109375" style="24" hidden="1" customWidth="1"/>
    <col min="49" max="49" width="14.7109375" style="24" hidden="1" customWidth="1"/>
    <col min="50" max="50" width="9.140625" style="24" hidden="1" customWidth="1"/>
    <col min="51" max="51" width="9.140625" style="24" customWidth="1"/>
    <col min="52" max="16384" width="9.140625" style="24"/>
  </cols>
  <sheetData>
    <row r="1" spans="1:49" ht="14.25" customHeight="1">
      <c r="A1" s="21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3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2"/>
      <c r="AQ1" s="22"/>
      <c r="AR1" s="22"/>
      <c r="AS1" s="22"/>
      <c r="AT1" s="22"/>
      <c r="AU1" s="22"/>
    </row>
    <row r="2" spans="1:49" ht="14.25" customHeight="1">
      <c r="A2" s="21"/>
      <c r="B2" s="25"/>
      <c r="C2" s="26" t="s">
        <v>792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3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2"/>
      <c r="AQ2" s="22"/>
      <c r="AR2" s="22"/>
      <c r="AS2" s="22"/>
      <c r="AT2" s="22"/>
      <c r="AU2" s="22"/>
    </row>
    <row r="3" spans="1:49" ht="14.25" customHeight="1">
      <c r="A3" s="21"/>
      <c r="B3" s="27"/>
      <c r="C3" s="26" t="s">
        <v>793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3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2"/>
      <c r="AQ3" s="22"/>
      <c r="AR3" s="22"/>
      <c r="AS3" s="22"/>
      <c r="AT3" s="22"/>
      <c r="AU3" s="22"/>
    </row>
    <row r="4" spans="1:49" s="29" customFormat="1" ht="18.75" customHeight="1">
      <c r="A4" s="21"/>
      <c r="B4" s="114" t="s">
        <v>794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28"/>
      <c r="T4" s="21"/>
      <c r="U4" s="21"/>
      <c r="V4" s="21"/>
      <c r="W4" s="21"/>
      <c r="X4" s="21"/>
      <c r="Y4" s="21"/>
      <c r="Z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2"/>
      <c r="AQ4" s="22"/>
      <c r="AR4" s="22"/>
      <c r="AS4" s="22"/>
      <c r="AT4" s="22"/>
      <c r="AU4" s="22"/>
    </row>
    <row r="5" spans="1:49" s="29" customFormat="1" ht="18.75" customHeight="1">
      <c r="A5" s="2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2"/>
      <c r="AQ5" s="22"/>
      <c r="AR5" s="22"/>
      <c r="AS5" s="22"/>
      <c r="AT5" s="22"/>
      <c r="AU5" s="22"/>
    </row>
    <row r="6" spans="1:49" s="36" customFormat="1" ht="70.900000000000006" customHeight="1">
      <c r="A6" s="23"/>
      <c r="B6" s="30" t="s">
        <v>1</v>
      </c>
      <c r="C6" s="31" t="s">
        <v>795</v>
      </c>
      <c r="D6" s="32" t="s">
        <v>796</v>
      </c>
      <c r="E6" s="32" t="s">
        <v>797</v>
      </c>
      <c r="F6" s="32" t="s">
        <v>798</v>
      </c>
      <c r="G6" s="32" t="s">
        <v>799</v>
      </c>
      <c r="H6" s="32" t="s">
        <v>800</v>
      </c>
      <c r="I6" s="32" t="s">
        <v>801</v>
      </c>
      <c r="J6" s="32" t="s">
        <v>802</v>
      </c>
      <c r="K6" s="32" t="s">
        <v>803</v>
      </c>
      <c r="L6" s="32" t="s">
        <v>804</v>
      </c>
      <c r="M6" s="32" t="s">
        <v>805</v>
      </c>
      <c r="N6" s="31" t="s">
        <v>806</v>
      </c>
      <c r="O6" s="31" t="s">
        <v>2</v>
      </c>
      <c r="P6" s="31" t="s">
        <v>807</v>
      </c>
      <c r="Q6" s="31" t="s">
        <v>808</v>
      </c>
      <c r="R6" s="31" t="s">
        <v>809</v>
      </c>
      <c r="S6" s="31" t="s">
        <v>810</v>
      </c>
      <c r="T6" s="33" t="s">
        <v>811</v>
      </c>
      <c r="U6" s="31" t="s">
        <v>812</v>
      </c>
      <c r="V6" s="33" t="s">
        <v>813</v>
      </c>
      <c r="W6" s="31" t="s">
        <v>814</v>
      </c>
      <c r="X6" s="31" t="s">
        <v>815</v>
      </c>
      <c r="Y6" s="31" t="s">
        <v>816</v>
      </c>
      <c r="Z6" s="31" t="s">
        <v>817</v>
      </c>
      <c r="AA6" s="31" t="s">
        <v>818</v>
      </c>
      <c r="AB6" s="31" t="s">
        <v>819</v>
      </c>
      <c r="AC6" s="31" t="s">
        <v>820</v>
      </c>
      <c r="AD6" s="31" t="s">
        <v>821</v>
      </c>
      <c r="AE6" s="31" t="s">
        <v>822</v>
      </c>
      <c r="AF6" s="31" t="s">
        <v>823</v>
      </c>
      <c r="AG6" s="31" t="s">
        <v>824</v>
      </c>
      <c r="AH6" s="33" t="s">
        <v>825</v>
      </c>
      <c r="AI6" s="33" t="s">
        <v>826</v>
      </c>
      <c r="AJ6" s="34"/>
      <c r="AK6" s="35" t="s">
        <v>827</v>
      </c>
      <c r="AL6" s="35" t="s">
        <v>828</v>
      </c>
      <c r="AM6" s="35" t="s">
        <v>829</v>
      </c>
      <c r="AN6" s="35" t="s">
        <v>830</v>
      </c>
      <c r="AO6" s="34"/>
      <c r="AP6" s="35" t="s">
        <v>831</v>
      </c>
      <c r="AQ6" s="35" t="s">
        <v>832</v>
      </c>
      <c r="AR6" s="35" t="s">
        <v>833</v>
      </c>
      <c r="AS6" s="35" t="s">
        <v>834</v>
      </c>
      <c r="AT6" s="35" t="s">
        <v>829</v>
      </c>
      <c r="AU6" s="35" t="s">
        <v>830</v>
      </c>
      <c r="AW6" s="35" t="s">
        <v>835</v>
      </c>
    </row>
    <row r="7" spans="1:49" s="61" customFormat="1" ht="16.149999999999999" customHeight="1">
      <c r="B7" s="62">
        <v>1</v>
      </c>
      <c r="C7" s="63" t="s">
        <v>777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 t="s">
        <v>836</v>
      </c>
      <c r="O7" s="62">
        <v>15607309</v>
      </c>
      <c r="P7" s="62">
        <v>968857951</v>
      </c>
      <c r="Q7" s="64" t="s">
        <v>837</v>
      </c>
      <c r="R7" s="62" t="s">
        <v>675</v>
      </c>
      <c r="S7" s="62" t="s">
        <v>675</v>
      </c>
      <c r="T7" s="62">
        <v>12</v>
      </c>
      <c r="U7" s="62" t="s">
        <v>675</v>
      </c>
      <c r="V7" s="62" t="s">
        <v>838</v>
      </c>
      <c r="W7" s="62" t="s">
        <v>839</v>
      </c>
      <c r="X7" s="62" t="s">
        <v>840</v>
      </c>
      <c r="Y7" s="65"/>
      <c r="Z7" s="65"/>
      <c r="AA7" s="65"/>
      <c r="AB7" s="65" t="s">
        <v>675</v>
      </c>
      <c r="AC7" s="62" t="s">
        <v>68</v>
      </c>
      <c r="AD7" s="62" t="s">
        <v>675</v>
      </c>
      <c r="AE7" s="62" t="s">
        <v>675</v>
      </c>
      <c r="AF7" s="62" t="s">
        <v>679</v>
      </c>
      <c r="AG7" s="62" t="s">
        <v>841</v>
      </c>
      <c r="AH7" s="62" t="s">
        <v>675</v>
      </c>
      <c r="AI7" s="62" t="s">
        <v>32</v>
      </c>
      <c r="AJ7" s="66"/>
      <c r="AK7" s="67">
        <v>0</v>
      </c>
      <c r="AL7" s="68">
        <v>0</v>
      </c>
      <c r="AM7" s="69">
        <v>0</v>
      </c>
      <c r="AN7" s="67">
        <f>AK7+AL7+AM7</f>
        <v>0</v>
      </c>
      <c r="AO7" s="70"/>
      <c r="AP7" s="67">
        <v>0</v>
      </c>
      <c r="AQ7" s="68">
        <f>AP7*T7</f>
        <v>0</v>
      </c>
      <c r="AR7" s="68">
        <f>AQ7*4</f>
        <v>0</v>
      </c>
      <c r="AS7" s="68">
        <v>0</v>
      </c>
      <c r="AT7" s="68">
        <v>0</v>
      </c>
      <c r="AU7" s="68">
        <f>AR7+AS7+AT7</f>
        <v>0</v>
      </c>
      <c r="AW7" s="71"/>
    </row>
    <row r="8" spans="1:49" s="66" customFormat="1" ht="16.149999999999999" customHeight="1">
      <c r="B8" s="62">
        <v>2</v>
      </c>
      <c r="C8" s="63" t="s">
        <v>779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 t="s">
        <v>836</v>
      </c>
      <c r="O8" s="62">
        <v>29384319</v>
      </c>
      <c r="P8" s="62">
        <v>991165153</v>
      </c>
      <c r="Q8" s="72" t="s">
        <v>842</v>
      </c>
      <c r="R8" s="62" t="s">
        <v>675</v>
      </c>
      <c r="S8" s="62" t="s">
        <v>675</v>
      </c>
      <c r="T8" s="73">
        <v>18</v>
      </c>
      <c r="U8" s="62" t="s">
        <v>675</v>
      </c>
      <c r="V8" s="62" t="s">
        <v>838</v>
      </c>
      <c r="W8" s="62" t="s">
        <v>839</v>
      </c>
      <c r="X8" s="62" t="s">
        <v>840</v>
      </c>
      <c r="Y8" s="65"/>
      <c r="Z8" s="65"/>
      <c r="AA8" s="65"/>
      <c r="AB8" s="65" t="s">
        <v>675</v>
      </c>
      <c r="AC8" s="62" t="s">
        <v>68</v>
      </c>
      <c r="AD8" s="62" t="s">
        <v>675</v>
      </c>
      <c r="AE8" s="62" t="s">
        <v>675</v>
      </c>
      <c r="AF8" s="62" t="s">
        <v>673</v>
      </c>
      <c r="AG8" s="62" t="s">
        <v>841</v>
      </c>
      <c r="AH8" s="62" t="s">
        <v>675</v>
      </c>
      <c r="AI8" s="62" t="s">
        <v>32</v>
      </c>
      <c r="AK8" s="74">
        <v>0</v>
      </c>
      <c r="AL8" s="68">
        <v>0</v>
      </c>
      <c r="AM8" s="69">
        <v>0</v>
      </c>
      <c r="AN8" s="74">
        <f>AK8+AL8+AM8</f>
        <v>0</v>
      </c>
      <c r="AO8" s="70"/>
      <c r="AP8" s="74">
        <v>0</v>
      </c>
      <c r="AQ8" s="68">
        <f t="shared" ref="AQ8:AQ70" si="0">AP8*T8</f>
        <v>0</v>
      </c>
      <c r="AR8" s="68">
        <f t="shared" ref="AR8:AR70" si="1">AQ8*4</f>
        <v>0</v>
      </c>
      <c r="AS8" s="68">
        <v>0</v>
      </c>
      <c r="AT8" s="68">
        <v>0</v>
      </c>
      <c r="AU8" s="68">
        <f t="shared" ref="AU8:AU70" si="2">AR8+AS8+AT8</f>
        <v>0</v>
      </c>
      <c r="AW8" s="75"/>
    </row>
    <row r="9" spans="1:49" s="66" customFormat="1" ht="16.149999999999999" customHeight="1">
      <c r="B9" s="62">
        <v>3</v>
      </c>
      <c r="C9" s="63" t="s">
        <v>780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 t="s">
        <v>836</v>
      </c>
      <c r="O9" s="62">
        <v>44006023</v>
      </c>
      <c r="P9" s="62">
        <v>989390670</v>
      </c>
      <c r="Q9" s="76" t="s">
        <v>843</v>
      </c>
      <c r="R9" s="62" t="s">
        <v>675</v>
      </c>
      <c r="S9" s="62" t="s">
        <v>675</v>
      </c>
      <c r="T9" s="73">
        <v>8</v>
      </c>
      <c r="U9" s="62" t="s">
        <v>675</v>
      </c>
      <c r="V9" s="62" t="s">
        <v>838</v>
      </c>
      <c r="W9" s="62" t="s">
        <v>839</v>
      </c>
      <c r="X9" s="62" t="s">
        <v>840</v>
      </c>
      <c r="Y9" s="65"/>
      <c r="Z9" s="65"/>
      <c r="AA9" s="65"/>
      <c r="AB9" s="65" t="s">
        <v>675</v>
      </c>
      <c r="AC9" s="62" t="s">
        <v>68</v>
      </c>
      <c r="AD9" s="62" t="s">
        <v>675</v>
      </c>
      <c r="AE9" s="62" t="s">
        <v>675</v>
      </c>
      <c r="AF9" s="62" t="s">
        <v>679</v>
      </c>
      <c r="AG9" s="62" t="s">
        <v>841</v>
      </c>
      <c r="AH9" s="62" t="s">
        <v>675</v>
      </c>
      <c r="AI9" s="62" t="s">
        <v>32</v>
      </c>
      <c r="AK9" s="74">
        <v>0</v>
      </c>
      <c r="AL9" s="68">
        <v>0</v>
      </c>
      <c r="AM9" s="69">
        <v>0</v>
      </c>
      <c r="AN9" s="74">
        <f t="shared" ref="AN9:AN71" si="3">AK9+AL9+AM9</f>
        <v>0</v>
      </c>
      <c r="AO9" s="70"/>
      <c r="AP9" s="74">
        <v>0</v>
      </c>
      <c r="AQ9" s="68">
        <f t="shared" si="0"/>
        <v>0</v>
      </c>
      <c r="AR9" s="68">
        <f t="shared" si="1"/>
        <v>0</v>
      </c>
      <c r="AS9" s="68">
        <v>0</v>
      </c>
      <c r="AT9" s="68">
        <v>0</v>
      </c>
      <c r="AU9" s="68">
        <f t="shared" si="2"/>
        <v>0</v>
      </c>
      <c r="AW9" s="75"/>
    </row>
    <row r="10" spans="1:49" s="61" customFormat="1" ht="16.149999999999999" customHeight="1">
      <c r="B10" s="62">
        <v>4</v>
      </c>
      <c r="C10" s="77" t="s">
        <v>671</v>
      </c>
      <c r="D10" s="62"/>
      <c r="E10" s="62"/>
      <c r="F10" s="62"/>
      <c r="G10" s="62"/>
      <c r="H10" s="78"/>
      <c r="I10" s="78"/>
      <c r="J10" s="78"/>
      <c r="K10" s="78"/>
      <c r="L10" s="78"/>
      <c r="M10" s="78"/>
      <c r="N10" s="62" t="s">
        <v>836</v>
      </c>
      <c r="O10" s="79">
        <v>43517817</v>
      </c>
      <c r="P10" s="79">
        <v>951222024</v>
      </c>
      <c r="Q10" s="76" t="s">
        <v>844</v>
      </c>
      <c r="R10" s="80" t="s">
        <v>674</v>
      </c>
      <c r="S10" s="62">
        <v>37</v>
      </c>
      <c r="T10" s="73">
        <v>32</v>
      </c>
      <c r="U10" s="62" t="s">
        <v>845</v>
      </c>
      <c r="V10" s="62" t="s">
        <v>845</v>
      </c>
      <c r="W10" s="62" t="s">
        <v>846</v>
      </c>
      <c r="X10" s="62" t="s">
        <v>840</v>
      </c>
      <c r="Y10" s="81">
        <v>45915</v>
      </c>
      <c r="Z10" s="65"/>
      <c r="AA10" s="65"/>
      <c r="AB10" s="65" t="s">
        <v>68</v>
      </c>
      <c r="AC10" s="62" t="s">
        <v>68</v>
      </c>
      <c r="AD10" s="62" t="s">
        <v>847</v>
      </c>
      <c r="AE10" s="62" t="s">
        <v>841</v>
      </c>
      <c r="AF10" s="62" t="s">
        <v>673</v>
      </c>
      <c r="AG10" s="62" t="s">
        <v>841</v>
      </c>
      <c r="AH10" s="62" t="s">
        <v>32</v>
      </c>
      <c r="AI10" s="62" t="s">
        <v>32</v>
      </c>
      <c r="AJ10" s="66"/>
      <c r="AK10" s="74">
        <v>0</v>
      </c>
      <c r="AL10" s="68">
        <v>0</v>
      </c>
      <c r="AM10" s="69">
        <v>0</v>
      </c>
      <c r="AN10" s="74">
        <f t="shared" si="3"/>
        <v>0</v>
      </c>
      <c r="AO10" s="70"/>
      <c r="AP10" s="74">
        <v>0</v>
      </c>
      <c r="AQ10" s="68">
        <f t="shared" si="0"/>
        <v>0</v>
      </c>
      <c r="AR10" s="68">
        <f t="shared" si="1"/>
        <v>0</v>
      </c>
      <c r="AS10" s="68">
        <v>0</v>
      </c>
      <c r="AT10" s="68">
        <v>0</v>
      </c>
      <c r="AU10" s="68">
        <f t="shared" si="2"/>
        <v>0</v>
      </c>
      <c r="AW10" s="71"/>
    </row>
    <row r="11" spans="1:49" s="61" customFormat="1" ht="16.149999999999999" customHeight="1">
      <c r="B11" s="62">
        <v>5</v>
      </c>
      <c r="C11" s="63" t="s">
        <v>782</v>
      </c>
      <c r="D11" s="62"/>
      <c r="E11" s="62"/>
      <c r="F11" s="62"/>
      <c r="G11" s="62"/>
      <c r="H11" s="78"/>
      <c r="I11" s="78"/>
      <c r="J11" s="78"/>
      <c r="K11" s="78"/>
      <c r="L11" s="78"/>
      <c r="M11" s="78"/>
      <c r="N11" s="62" t="s">
        <v>836</v>
      </c>
      <c r="O11" s="62">
        <v>44822572</v>
      </c>
      <c r="P11" s="92">
        <v>944457776</v>
      </c>
      <c r="Q11" s="76" t="s">
        <v>848</v>
      </c>
      <c r="R11" s="62" t="s">
        <v>675</v>
      </c>
      <c r="S11" s="62" t="s">
        <v>675</v>
      </c>
      <c r="T11" s="73">
        <v>9</v>
      </c>
      <c r="U11" s="62" t="s">
        <v>675</v>
      </c>
      <c r="V11" s="62" t="s">
        <v>838</v>
      </c>
      <c r="W11" s="62" t="s">
        <v>839</v>
      </c>
      <c r="X11" s="62" t="s">
        <v>840</v>
      </c>
      <c r="Y11" s="65"/>
      <c r="Z11" s="65"/>
      <c r="AA11" s="65"/>
      <c r="AB11" s="65" t="s">
        <v>675</v>
      </c>
      <c r="AC11" s="62" t="s">
        <v>68</v>
      </c>
      <c r="AD11" s="62" t="s">
        <v>675</v>
      </c>
      <c r="AE11" s="62" t="s">
        <v>675</v>
      </c>
      <c r="AF11" s="62" t="s">
        <v>679</v>
      </c>
      <c r="AG11" s="62" t="s">
        <v>841</v>
      </c>
      <c r="AH11" s="62" t="s">
        <v>675</v>
      </c>
      <c r="AI11" s="62" t="s">
        <v>20</v>
      </c>
      <c r="AJ11" s="66"/>
      <c r="AK11" s="74">
        <v>0</v>
      </c>
      <c r="AL11" s="68">
        <v>0</v>
      </c>
      <c r="AM11" s="69">
        <v>0</v>
      </c>
      <c r="AN11" s="74">
        <f t="shared" si="3"/>
        <v>0</v>
      </c>
      <c r="AO11" s="70"/>
      <c r="AP11" s="74">
        <v>0</v>
      </c>
      <c r="AQ11" s="68">
        <f t="shared" si="0"/>
        <v>0</v>
      </c>
      <c r="AR11" s="68">
        <f t="shared" si="1"/>
        <v>0</v>
      </c>
      <c r="AS11" s="68">
        <v>0</v>
      </c>
      <c r="AT11" s="68">
        <v>0</v>
      </c>
      <c r="AU11" s="68">
        <f t="shared" si="2"/>
        <v>0</v>
      </c>
      <c r="AW11" s="71"/>
    </row>
    <row r="12" spans="1:49" s="61" customFormat="1" ht="16.149999999999999" customHeight="1">
      <c r="B12" s="62">
        <v>6</v>
      </c>
      <c r="C12" s="63" t="s">
        <v>713</v>
      </c>
      <c r="D12" s="62"/>
      <c r="E12" s="62"/>
      <c r="F12" s="62"/>
      <c r="G12" s="62"/>
      <c r="H12" s="62"/>
      <c r="I12" s="78"/>
      <c r="J12" s="62"/>
      <c r="K12" s="62"/>
      <c r="L12" s="62"/>
      <c r="M12" s="62"/>
      <c r="N12" s="62" t="s">
        <v>836</v>
      </c>
      <c r="O12" s="82">
        <v>72176698</v>
      </c>
      <c r="P12" s="62">
        <v>956383530</v>
      </c>
      <c r="Q12" s="76" t="s">
        <v>849</v>
      </c>
      <c r="R12" s="62" t="s">
        <v>675</v>
      </c>
      <c r="S12" s="62" t="s">
        <v>675</v>
      </c>
      <c r="T12" s="73">
        <v>6</v>
      </c>
      <c r="U12" s="62" t="s">
        <v>675</v>
      </c>
      <c r="V12" s="62" t="s">
        <v>838</v>
      </c>
      <c r="W12" s="62" t="s">
        <v>850</v>
      </c>
      <c r="X12" s="62" t="s">
        <v>840</v>
      </c>
      <c r="Y12" s="81">
        <v>46125</v>
      </c>
      <c r="Z12" s="65" t="s">
        <v>851</v>
      </c>
      <c r="AA12" s="81">
        <v>46083</v>
      </c>
      <c r="AB12" s="65" t="s">
        <v>675</v>
      </c>
      <c r="AC12" s="62" t="s">
        <v>68</v>
      </c>
      <c r="AD12" s="62" t="s">
        <v>675</v>
      </c>
      <c r="AE12" s="62" t="s">
        <v>675</v>
      </c>
      <c r="AF12" s="62" t="s">
        <v>683</v>
      </c>
      <c r="AG12" s="62" t="s">
        <v>841</v>
      </c>
      <c r="AH12" s="62" t="s">
        <v>675</v>
      </c>
      <c r="AI12" s="62" t="s">
        <v>20</v>
      </c>
      <c r="AJ12" s="66"/>
      <c r="AK12" s="74">
        <v>0</v>
      </c>
      <c r="AL12" s="68">
        <v>0</v>
      </c>
      <c r="AM12" s="69">
        <v>0</v>
      </c>
      <c r="AN12" s="74">
        <f t="shared" si="3"/>
        <v>0</v>
      </c>
      <c r="AO12" s="70"/>
      <c r="AP12" s="74">
        <v>0</v>
      </c>
      <c r="AQ12" s="68">
        <f t="shared" si="0"/>
        <v>0</v>
      </c>
      <c r="AR12" s="68">
        <f t="shared" si="1"/>
        <v>0</v>
      </c>
      <c r="AS12" s="68">
        <v>0</v>
      </c>
      <c r="AT12" s="68">
        <v>0</v>
      </c>
      <c r="AU12" s="68">
        <f t="shared" si="2"/>
        <v>0</v>
      </c>
      <c r="AW12" s="71"/>
    </row>
    <row r="13" spans="1:49" s="61" customFormat="1" ht="16.149999999999999" customHeight="1">
      <c r="B13" s="62">
        <v>7</v>
      </c>
      <c r="C13" s="63" t="s">
        <v>715</v>
      </c>
      <c r="D13" s="62"/>
      <c r="E13" s="62"/>
      <c r="F13" s="62"/>
      <c r="G13" s="62"/>
      <c r="H13" s="78"/>
      <c r="I13" s="78"/>
      <c r="J13" s="78"/>
      <c r="K13" s="78"/>
      <c r="L13" s="78"/>
      <c r="M13" s="78"/>
      <c r="N13" s="62" t="s">
        <v>836</v>
      </c>
      <c r="O13" s="62">
        <v>41807593</v>
      </c>
      <c r="P13" s="62">
        <v>940392058</v>
      </c>
      <c r="Q13" s="76" t="s">
        <v>852</v>
      </c>
      <c r="R13" s="62" t="s">
        <v>675</v>
      </c>
      <c r="S13" s="62" t="s">
        <v>675</v>
      </c>
      <c r="T13" s="73">
        <v>12</v>
      </c>
      <c r="U13" s="62" t="s">
        <v>675</v>
      </c>
      <c r="V13" s="62" t="s">
        <v>838</v>
      </c>
      <c r="W13" s="62" t="s">
        <v>850</v>
      </c>
      <c r="X13" s="62" t="s">
        <v>840</v>
      </c>
      <c r="Y13" s="81">
        <v>46125</v>
      </c>
      <c r="Z13" s="65" t="s">
        <v>851</v>
      </c>
      <c r="AA13" s="81">
        <v>46083</v>
      </c>
      <c r="AB13" s="65" t="s">
        <v>675</v>
      </c>
      <c r="AC13" s="62" t="s">
        <v>68</v>
      </c>
      <c r="AD13" s="62" t="s">
        <v>675</v>
      </c>
      <c r="AE13" s="62" t="s">
        <v>675</v>
      </c>
      <c r="AF13" s="62" t="s">
        <v>679</v>
      </c>
      <c r="AG13" s="62" t="s">
        <v>841</v>
      </c>
      <c r="AH13" s="62" t="s">
        <v>675</v>
      </c>
      <c r="AI13" s="62" t="s">
        <v>32</v>
      </c>
      <c r="AJ13" s="66"/>
      <c r="AK13" s="74">
        <v>0</v>
      </c>
      <c r="AL13" s="68">
        <v>0</v>
      </c>
      <c r="AM13" s="69">
        <v>0</v>
      </c>
      <c r="AN13" s="74">
        <f t="shared" si="3"/>
        <v>0</v>
      </c>
      <c r="AO13" s="70"/>
      <c r="AP13" s="74">
        <v>0</v>
      </c>
      <c r="AQ13" s="68">
        <f t="shared" si="0"/>
        <v>0</v>
      </c>
      <c r="AR13" s="68">
        <f t="shared" si="1"/>
        <v>0</v>
      </c>
      <c r="AS13" s="68">
        <v>0</v>
      </c>
      <c r="AT13" s="68">
        <v>0</v>
      </c>
      <c r="AU13" s="68">
        <f t="shared" si="2"/>
        <v>0</v>
      </c>
      <c r="AW13" s="71"/>
    </row>
    <row r="14" spans="1:49" s="66" customFormat="1" ht="16.149999999999999" customHeight="1">
      <c r="B14" s="62">
        <v>8</v>
      </c>
      <c r="C14" s="63" t="s">
        <v>783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836</v>
      </c>
      <c r="O14" s="62">
        <v>42711303</v>
      </c>
      <c r="P14" s="62">
        <v>978177488</v>
      </c>
      <c r="Q14" s="76" t="s">
        <v>853</v>
      </c>
      <c r="R14" s="62" t="s">
        <v>675</v>
      </c>
      <c r="S14" s="62" t="s">
        <v>675</v>
      </c>
      <c r="T14" s="73">
        <v>20</v>
      </c>
      <c r="U14" s="62" t="s">
        <v>675</v>
      </c>
      <c r="V14" s="62" t="s">
        <v>838</v>
      </c>
      <c r="W14" s="62" t="s">
        <v>839</v>
      </c>
      <c r="X14" s="62" t="s">
        <v>840</v>
      </c>
      <c r="Y14" s="65"/>
      <c r="Z14" s="65"/>
      <c r="AA14" s="65"/>
      <c r="AB14" s="65" t="s">
        <v>675</v>
      </c>
      <c r="AC14" s="62" t="s">
        <v>68</v>
      </c>
      <c r="AD14" s="62" t="s">
        <v>675</v>
      </c>
      <c r="AE14" s="62" t="s">
        <v>675</v>
      </c>
      <c r="AF14" s="62" t="s">
        <v>673</v>
      </c>
      <c r="AG14" s="62" t="s">
        <v>841</v>
      </c>
      <c r="AH14" s="62" t="s">
        <v>675</v>
      </c>
      <c r="AI14" s="62" t="s">
        <v>32</v>
      </c>
      <c r="AK14" s="74">
        <v>0</v>
      </c>
      <c r="AL14" s="68">
        <v>0</v>
      </c>
      <c r="AM14" s="69">
        <v>0</v>
      </c>
      <c r="AN14" s="74">
        <f t="shared" si="3"/>
        <v>0</v>
      </c>
      <c r="AO14" s="70"/>
      <c r="AP14" s="74">
        <v>0</v>
      </c>
      <c r="AQ14" s="68">
        <f t="shared" si="0"/>
        <v>0</v>
      </c>
      <c r="AR14" s="68">
        <f t="shared" si="1"/>
        <v>0</v>
      </c>
      <c r="AS14" s="68">
        <v>0</v>
      </c>
      <c r="AT14" s="68">
        <v>0</v>
      </c>
      <c r="AU14" s="68">
        <f t="shared" si="2"/>
        <v>0</v>
      </c>
      <c r="AW14" s="75"/>
    </row>
    <row r="15" spans="1:49" s="66" customFormat="1" ht="16.149999999999999" customHeight="1">
      <c r="B15" s="62">
        <v>9</v>
      </c>
      <c r="C15" s="63" t="s">
        <v>716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 t="s">
        <v>836</v>
      </c>
      <c r="O15" s="62">
        <v>75168136</v>
      </c>
      <c r="P15" s="62">
        <v>906809788</v>
      </c>
      <c r="Q15" s="76" t="s">
        <v>854</v>
      </c>
      <c r="R15" s="62" t="s">
        <v>675</v>
      </c>
      <c r="S15" s="62" t="s">
        <v>675</v>
      </c>
      <c r="T15" s="73">
        <v>6</v>
      </c>
      <c r="U15" s="62" t="s">
        <v>675</v>
      </c>
      <c r="V15" s="62" t="s">
        <v>838</v>
      </c>
      <c r="W15" s="62" t="s">
        <v>850</v>
      </c>
      <c r="X15" s="62" t="s">
        <v>840</v>
      </c>
      <c r="Y15" s="81">
        <v>46125</v>
      </c>
      <c r="Z15" s="65" t="s">
        <v>851</v>
      </c>
      <c r="AA15" s="81">
        <v>46083</v>
      </c>
      <c r="AB15" s="65" t="s">
        <v>675</v>
      </c>
      <c r="AC15" s="62" t="s">
        <v>68</v>
      </c>
      <c r="AD15" s="62" t="s">
        <v>675</v>
      </c>
      <c r="AE15" s="62" t="s">
        <v>675</v>
      </c>
      <c r="AF15" s="62" t="s">
        <v>673</v>
      </c>
      <c r="AG15" s="62" t="s">
        <v>841</v>
      </c>
      <c r="AH15" s="62" t="s">
        <v>675</v>
      </c>
      <c r="AI15" s="62" t="s">
        <v>32</v>
      </c>
      <c r="AK15" s="74">
        <v>0</v>
      </c>
      <c r="AL15" s="68">
        <v>0</v>
      </c>
      <c r="AM15" s="69">
        <v>0</v>
      </c>
      <c r="AN15" s="74">
        <f t="shared" si="3"/>
        <v>0</v>
      </c>
      <c r="AO15" s="70"/>
      <c r="AP15" s="74">
        <v>0</v>
      </c>
      <c r="AQ15" s="68">
        <f t="shared" si="0"/>
        <v>0</v>
      </c>
      <c r="AR15" s="68">
        <f t="shared" si="1"/>
        <v>0</v>
      </c>
      <c r="AS15" s="68">
        <v>0</v>
      </c>
      <c r="AT15" s="68">
        <v>0</v>
      </c>
      <c r="AU15" s="68">
        <f t="shared" si="2"/>
        <v>0</v>
      </c>
      <c r="AW15" s="75"/>
    </row>
    <row r="16" spans="1:49" s="61" customFormat="1" ht="16.149999999999999" customHeight="1">
      <c r="B16" s="62">
        <v>10</v>
      </c>
      <c r="C16" s="63" t="s">
        <v>717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 t="s">
        <v>836</v>
      </c>
      <c r="O16" s="62">
        <v>42146692</v>
      </c>
      <c r="P16" s="62">
        <v>984374438</v>
      </c>
      <c r="Q16" s="76" t="s">
        <v>855</v>
      </c>
      <c r="R16" s="62" t="s">
        <v>675</v>
      </c>
      <c r="S16" s="62" t="s">
        <v>675</v>
      </c>
      <c r="T16" s="73">
        <v>8</v>
      </c>
      <c r="U16" s="62" t="s">
        <v>675</v>
      </c>
      <c r="V16" s="62" t="s">
        <v>838</v>
      </c>
      <c r="W16" s="62" t="s">
        <v>850</v>
      </c>
      <c r="X16" s="62" t="s">
        <v>840</v>
      </c>
      <c r="Y16" s="81">
        <v>46125</v>
      </c>
      <c r="Z16" s="65" t="s">
        <v>851</v>
      </c>
      <c r="AA16" s="81">
        <v>46083</v>
      </c>
      <c r="AB16" s="65" t="s">
        <v>675</v>
      </c>
      <c r="AC16" s="62" t="s">
        <v>68</v>
      </c>
      <c r="AD16" s="62" t="s">
        <v>675</v>
      </c>
      <c r="AE16" s="62" t="s">
        <v>675</v>
      </c>
      <c r="AF16" s="62" t="s">
        <v>686</v>
      </c>
      <c r="AG16" s="62" t="s">
        <v>856</v>
      </c>
      <c r="AH16" s="62" t="s">
        <v>675</v>
      </c>
      <c r="AI16" s="62" t="s">
        <v>32</v>
      </c>
      <c r="AJ16" s="66"/>
      <c r="AK16" s="74">
        <v>0</v>
      </c>
      <c r="AL16" s="68">
        <v>0</v>
      </c>
      <c r="AM16" s="69">
        <v>0</v>
      </c>
      <c r="AN16" s="74">
        <f t="shared" si="3"/>
        <v>0</v>
      </c>
      <c r="AO16" s="70"/>
      <c r="AP16" s="74">
        <v>0</v>
      </c>
      <c r="AQ16" s="68">
        <f t="shared" si="0"/>
        <v>0</v>
      </c>
      <c r="AR16" s="68">
        <f t="shared" si="1"/>
        <v>0</v>
      </c>
      <c r="AS16" s="68">
        <v>0</v>
      </c>
      <c r="AT16" s="68">
        <v>0</v>
      </c>
      <c r="AU16" s="68">
        <f t="shared" si="2"/>
        <v>0</v>
      </c>
      <c r="AW16" s="71"/>
    </row>
    <row r="17" spans="2:49" s="66" customFormat="1" ht="16.149999999999999" customHeight="1">
      <c r="B17" s="62">
        <v>11</v>
      </c>
      <c r="C17" s="63" t="s">
        <v>676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836</v>
      </c>
      <c r="O17" s="62">
        <v>40428220</v>
      </c>
      <c r="P17" s="62">
        <v>992990608</v>
      </c>
      <c r="Q17" s="76" t="s">
        <v>857</v>
      </c>
      <c r="R17" s="76" t="s">
        <v>677</v>
      </c>
      <c r="S17" s="62">
        <v>16</v>
      </c>
      <c r="T17" s="73">
        <v>32</v>
      </c>
      <c r="U17" s="62" t="s">
        <v>838</v>
      </c>
      <c r="V17" s="62" t="s">
        <v>845</v>
      </c>
      <c r="W17" s="62" t="s">
        <v>846</v>
      </c>
      <c r="X17" s="62" t="s">
        <v>840</v>
      </c>
      <c r="Y17" s="81">
        <v>45922</v>
      </c>
      <c r="Z17" s="65"/>
      <c r="AA17" s="65"/>
      <c r="AB17" s="65" t="s">
        <v>68</v>
      </c>
      <c r="AC17" s="62" t="s">
        <v>68</v>
      </c>
      <c r="AD17" s="62" t="s">
        <v>858</v>
      </c>
      <c r="AE17" s="62" t="s">
        <v>841</v>
      </c>
      <c r="AF17" s="62" t="s">
        <v>673</v>
      </c>
      <c r="AG17" s="62" t="s">
        <v>841</v>
      </c>
      <c r="AH17" s="62" t="s">
        <v>32</v>
      </c>
      <c r="AI17" s="62" t="s">
        <v>32</v>
      </c>
      <c r="AK17" s="74">
        <v>0</v>
      </c>
      <c r="AL17" s="68">
        <v>0</v>
      </c>
      <c r="AM17" s="69">
        <v>0</v>
      </c>
      <c r="AN17" s="74">
        <f t="shared" si="3"/>
        <v>0</v>
      </c>
      <c r="AO17" s="70"/>
      <c r="AP17" s="74">
        <v>0</v>
      </c>
      <c r="AQ17" s="68">
        <f t="shared" si="0"/>
        <v>0</v>
      </c>
      <c r="AR17" s="68">
        <f t="shared" si="1"/>
        <v>0</v>
      </c>
      <c r="AS17" s="68">
        <v>0</v>
      </c>
      <c r="AT17" s="68">
        <v>0</v>
      </c>
      <c r="AU17" s="68">
        <f t="shared" si="2"/>
        <v>0</v>
      </c>
      <c r="AW17" s="75"/>
    </row>
    <row r="18" spans="2:49" s="61" customFormat="1" ht="16.149999999999999" customHeight="1">
      <c r="B18" s="62">
        <v>12</v>
      </c>
      <c r="C18" s="63" t="s">
        <v>718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836</v>
      </c>
      <c r="O18" s="62">
        <v>43608561</v>
      </c>
      <c r="P18" s="62">
        <v>964859651</v>
      </c>
      <c r="Q18" s="76" t="s">
        <v>859</v>
      </c>
      <c r="R18" s="62" t="s">
        <v>675</v>
      </c>
      <c r="S18" s="62" t="s">
        <v>675</v>
      </c>
      <c r="T18" s="73">
        <v>5</v>
      </c>
      <c r="U18" s="62" t="s">
        <v>675</v>
      </c>
      <c r="V18" s="62" t="s">
        <v>838</v>
      </c>
      <c r="W18" s="62" t="s">
        <v>850</v>
      </c>
      <c r="X18" s="62" t="s">
        <v>840</v>
      </c>
      <c r="Y18" s="81">
        <v>46125</v>
      </c>
      <c r="Z18" s="65" t="s">
        <v>851</v>
      </c>
      <c r="AA18" s="81">
        <v>46083</v>
      </c>
      <c r="AB18" s="65" t="s">
        <v>675</v>
      </c>
      <c r="AC18" s="62" t="s">
        <v>68</v>
      </c>
      <c r="AD18" s="62" t="s">
        <v>675</v>
      </c>
      <c r="AE18" s="62" t="s">
        <v>675</v>
      </c>
      <c r="AF18" s="62" t="s">
        <v>683</v>
      </c>
      <c r="AG18" s="62" t="s">
        <v>841</v>
      </c>
      <c r="AH18" s="62" t="s">
        <v>675</v>
      </c>
      <c r="AI18" s="62" t="s">
        <v>20</v>
      </c>
      <c r="AJ18" s="66"/>
      <c r="AK18" s="74">
        <v>0</v>
      </c>
      <c r="AL18" s="68">
        <v>0</v>
      </c>
      <c r="AM18" s="69">
        <v>0</v>
      </c>
      <c r="AN18" s="74">
        <f t="shared" si="3"/>
        <v>0</v>
      </c>
      <c r="AO18" s="70"/>
      <c r="AP18" s="74">
        <v>0</v>
      </c>
      <c r="AQ18" s="68">
        <f t="shared" si="0"/>
        <v>0</v>
      </c>
      <c r="AR18" s="68">
        <f t="shared" si="1"/>
        <v>0</v>
      </c>
      <c r="AS18" s="68">
        <v>0</v>
      </c>
      <c r="AT18" s="68">
        <v>0</v>
      </c>
      <c r="AU18" s="68">
        <f t="shared" si="2"/>
        <v>0</v>
      </c>
      <c r="AW18" s="71"/>
    </row>
    <row r="19" spans="2:49" s="66" customFormat="1" ht="16.149999999999999" customHeight="1">
      <c r="B19" s="62">
        <v>13</v>
      </c>
      <c r="C19" s="63" t="s">
        <v>784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 t="s">
        <v>836</v>
      </c>
      <c r="O19" s="62">
        <v>40432935</v>
      </c>
      <c r="P19" s="62">
        <v>994985272</v>
      </c>
      <c r="Q19" s="76" t="s">
        <v>860</v>
      </c>
      <c r="R19" s="62" t="s">
        <v>675</v>
      </c>
      <c r="S19" s="62" t="s">
        <v>675</v>
      </c>
      <c r="T19" s="73">
        <v>4</v>
      </c>
      <c r="U19" s="62" t="s">
        <v>675</v>
      </c>
      <c r="V19" s="62" t="s">
        <v>838</v>
      </c>
      <c r="W19" s="62" t="s">
        <v>839</v>
      </c>
      <c r="X19" s="62" t="s">
        <v>840</v>
      </c>
      <c r="Y19" s="65"/>
      <c r="Z19" s="65"/>
      <c r="AA19" s="65"/>
      <c r="AB19" s="65" t="s">
        <v>675</v>
      </c>
      <c r="AC19" s="62" t="s">
        <v>68</v>
      </c>
      <c r="AD19" s="62" t="s">
        <v>675</v>
      </c>
      <c r="AE19" s="62" t="s">
        <v>675</v>
      </c>
      <c r="AF19" s="62" t="s">
        <v>679</v>
      </c>
      <c r="AG19" s="62" t="s">
        <v>841</v>
      </c>
      <c r="AH19" s="62" t="s">
        <v>675</v>
      </c>
      <c r="AI19" s="62" t="s">
        <v>32</v>
      </c>
      <c r="AK19" s="74">
        <v>0</v>
      </c>
      <c r="AL19" s="68">
        <v>0</v>
      </c>
      <c r="AM19" s="69">
        <v>0</v>
      </c>
      <c r="AN19" s="74">
        <f t="shared" si="3"/>
        <v>0</v>
      </c>
      <c r="AO19" s="70"/>
      <c r="AP19" s="74">
        <v>0</v>
      </c>
      <c r="AQ19" s="68">
        <f t="shared" si="0"/>
        <v>0</v>
      </c>
      <c r="AR19" s="68">
        <f t="shared" si="1"/>
        <v>0</v>
      </c>
      <c r="AS19" s="68">
        <v>0</v>
      </c>
      <c r="AT19" s="68">
        <v>0</v>
      </c>
      <c r="AU19" s="68">
        <f t="shared" si="2"/>
        <v>0</v>
      </c>
      <c r="AW19" s="75"/>
    </row>
    <row r="20" spans="2:49" s="61" customFormat="1" ht="16.149999999999999" customHeight="1">
      <c r="B20" s="62">
        <v>14</v>
      </c>
      <c r="C20" s="63" t="s">
        <v>682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 t="s">
        <v>836</v>
      </c>
      <c r="O20" s="62">
        <v>41239504</v>
      </c>
      <c r="P20" s="62">
        <v>992085961</v>
      </c>
      <c r="Q20" s="76" t="s">
        <v>861</v>
      </c>
      <c r="R20" s="76" t="s">
        <v>684</v>
      </c>
      <c r="S20" s="62">
        <v>8</v>
      </c>
      <c r="T20" s="73">
        <v>16</v>
      </c>
      <c r="U20" s="62" t="s">
        <v>838</v>
      </c>
      <c r="V20" s="62" t="s">
        <v>838</v>
      </c>
      <c r="W20" s="62" t="s">
        <v>846</v>
      </c>
      <c r="X20" s="62" t="s">
        <v>840</v>
      </c>
      <c r="Y20" s="81">
        <v>45771</v>
      </c>
      <c r="Z20" s="65"/>
      <c r="AA20" s="65"/>
      <c r="AB20" s="65" t="s">
        <v>68</v>
      </c>
      <c r="AC20" s="62" t="s">
        <v>68</v>
      </c>
      <c r="AD20" s="62" t="s">
        <v>858</v>
      </c>
      <c r="AE20" s="62" t="s">
        <v>841</v>
      </c>
      <c r="AF20" s="62" t="s">
        <v>686</v>
      </c>
      <c r="AG20" s="62" t="s">
        <v>841</v>
      </c>
      <c r="AH20" s="62" t="s">
        <v>32</v>
      </c>
      <c r="AI20" s="62" t="s">
        <v>32</v>
      </c>
      <c r="AJ20" s="66"/>
      <c r="AK20" s="74">
        <v>0</v>
      </c>
      <c r="AL20" s="68">
        <v>0</v>
      </c>
      <c r="AM20" s="69">
        <v>0</v>
      </c>
      <c r="AN20" s="74">
        <f t="shared" si="3"/>
        <v>0</v>
      </c>
      <c r="AO20" s="70"/>
      <c r="AP20" s="74">
        <v>0</v>
      </c>
      <c r="AQ20" s="68">
        <f t="shared" si="0"/>
        <v>0</v>
      </c>
      <c r="AR20" s="68">
        <f t="shared" si="1"/>
        <v>0</v>
      </c>
      <c r="AS20" s="68">
        <v>0</v>
      </c>
      <c r="AT20" s="68">
        <v>0</v>
      </c>
      <c r="AU20" s="68">
        <f t="shared" si="2"/>
        <v>0</v>
      </c>
      <c r="AW20" s="71"/>
    </row>
    <row r="21" spans="2:49" s="92" customFormat="1">
      <c r="B21" s="62">
        <v>15</v>
      </c>
      <c r="C21" s="63" t="s">
        <v>685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 t="s">
        <v>836</v>
      </c>
      <c r="O21" s="62">
        <v>33826021</v>
      </c>
      <c r="P21" s="62">
        <v>989038202</v>
      </c>
      <c r="Q21" s="76" t="s">
        <v>862</v>
      </c>
      <c r="R21" s="76" t="s">
        <v>687</v>
      </c>
      <c r="S21" s="62">
        <v>13</v>
      </c>
      <c r="T21" s="73">
        <v>15</v>
      </c>
      <c r="U21" s="62" t="s">
        <v>838</v>
      </c>
      <c r="V21" s="62" t="s">
        <v>838</v>
      </c>
      <c r="W21" s="62" t="s">
        <v>846</v>
      </c>
      <c r="X21" s="62" t="s">
        <v>840</v>
      </c>
      <c r="Y21" s="81">
        <v>45771</v>
      </c>
      <c r="Z21" s="65"/>
      <c r="AA21" s="65"/>
      <c r="AB21" s="65" t="s">
        <v>68</v>
      </c>
      <c r="AC21" s="62" t="s">
        <v>68</v>
      </c>
      <c r="AD21" s="62" t="s">
        <v>858</v>
      </c>
      <c r="AE21" s="62" t="s">
        <v>856</v>
      </c>
      <c r="AF21" s="62" t="s">
        <v>686</v>
      </c>
      <c r="AG21" s="62" t="s">
        <v>856</v>
      </c>
      <c r="AH21" s="62" t="s">
        <v>32</v>
      </c>
      <c r="AI21" s="62" t="s">
        <v>32</v>
      </c>
      <c r="AJ21" s="66"/>
      <c r="AK21" s="74">
        <v>0</v>
      </c>
      <c r="AL21" s="68">
        <v>0</v>
      </c>
      <c r="AM21" s="69">
        <v>0</v>
      </c>
      <c r="AN21" s="74">
        <f t="shared" si="3"/>
        <v>0</v>
      </c>
      <c r="AO21" s="70"/>
      <c r="AP21" s="74">
        <v>0</v>
      </c>
      <c r="AQ21" s="68">
        <f t="shared" si="0"/>
        <v>0</v>
      </c>
      <c r="AR21" s="68">
        <f t="shared" si="1"/>
        <v>0</v>
      </c>
      <c r="AS21" s="68">
        <v>0</v>
      </c>
      <c r="AT21" s="68">
        <v>0</v>
      </c>
      <c r="AU21" s="68">
        <f t="shared" si="2"/>
        <v>0</v>
      </c>
      <c r="AV21" s="66"/>
      <c r="AW21" s="75"/>
    </row>
    <row r="22" spans="2:49" s="92" customFormat="1">
      <c r="B22" s="62">
        <v>16</v>
      </c>
      <c r="C22" s="63" t="s">
        <v>688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 t="s">
        <v>836</v>
      </c>
      <c r="O22" s="62">
        <v>42212783</v>
      </c>
      <c r="P22" s="62">
        <v>960064109</v>
      </c>
      <c r="Q22" s="76" t="s">
        <v>863</v>
      </c>
      <c r="R22" s="76" t="s">
        <v>689</v>
      </c>
      <c r="S22" s="62">
        <v>15</v>
      </c>
      <c r="T22" s="73">
        <v>10</v>
      </c>
      <c r="U22" s="62" t="s">
        <v>838</v>
      </c>
      <c r="V22" s="62" t="s">
        <v>838</v>
      </c>
      <c r="W22" s="62" t="s">
        <v>846</v>
      </c>
      <c r="X22" s="62" t="s">
        <v>840</v>
      </c>
      <c r="Y22" s="81">
        <v>45771</v>
      </c>
      <c r="Z22" s="65"/>
      <c r="AA22" s="65"/>
      <c r="AB22" s="65" t="s">
        <v>68</v>
      </c>
      <c r="AC22" s="62" t="s">
        <v>68</v>
      </c>
      <c r="AD22" s="62" t="s">
        <v>673</v>
      </c>
      <c r="AE22" s="62" t="s">
        <v>841</v>
      </c>
      <c r="AF22" s="62" t="s">
        <v>673</v>
      </c>
      <c r="AG22" s="62" t="s">
        <v>841</v>
      </c>
      <c r="AH22" s="62" t="s">
        <v>32</v>
      </c>
      <c r="AI22" s="62" t="s">
        <v>32</v>
      </c>
      <c r="AJ22" s="66"/>
      <c r="AK22" s="74">
        <v>0</v>
      </c>
      <c r="AL22" s="68">
        <v>0</v>
      </c>
      <c r="AM22" s="69">
        <v>0</v>
      </c>
      <c r="AN22" s="74">
        <f t="shared" si="3"/>
        <v>0</v>
      </c>
      <c r="AO22" s="70"/>
      <c r="AP22" s="74">
        <v>0</v>
      </c>
      <c r="AQ22" s="68">
        <f t="shared" si="0"/>
        <v>0</v>
      </c>
      <c r="AR22" s="68">
        <f t="shared" si="1"/>
        <v>0</v>
      </c>
      <c r="AS22" s="68">
        <v>0</v>
      </c>
      <c r="AT22" s="68">
        <v>0</v>
      </c>
      <c r="AU22" s="68">
        <f t="shared" si="2"/>
        <v>0</v>
      </c>
      <c r="AV22" s="61"/>
      <c r="AW22" s="71"/>
    </row>
    <row r="23" spans="2:49" s="92" customFormat="1">
      <c r="B23" s="62">
        <v>17</v>
      </c>
      <c r="C23" s="63" t="s">
        <v>690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 t="s">
        <v>836</v>
      </c>
      <c r="O23" s="62">
        <v>40822577</v>
      </c>
      <c r="P23" s="62">
        <v>957786821</v>
      </c>
      <c r="Q23" s="76" t="s">
        <v>864</v>
      </c>
      <c r="R23" s="76" t="s">
        <v>691</v>
      </c>
      <c r="S23" s="62">
        <v>36</v>
      </c>
      <c r="T23" s="73">
        <v>16</v>
      </c>
      <c r="U23" s="62" t="s">
        <v>845</v>
      </c>
      <c r="V23" s="62" t="s">
        <v>838</v>
      </c>
      <c r="W23" s="62" t="s">
        <v>846</v>
      </c>
      <c r="X23" s="62" t="s">
        <v>840</v>
      </c>
      <c r="Y23" s="81">
        <v>45771</v>
      </c>
      <c r="Z23" s="65"/>
      <c r="AA23" s="65"/>
      <c r="AB23" s="65" t="s">
        <v>68</v>
      </c>
      <c r="AC23" s="62" t="s">
        <v>68</v>
      </c>
      <c r="AD23" s="62" t="s">
        <v>858</v>
      </c>
      <c r="AE23" s="62" t="s">
        <v>841</v>
      </c>
      <c r="AF23" s="62" t="s">
        <v>673</v>
      </c>
      <c r="AG23" s="62" t="s">
        <v>841</v>
      </c>
      <c r="AH23" s="62" t="s">
        <v>32</v>
      </c>
      <c r="AI23" s="62" t="s">
        <v>32</v>
      </c>
      <c r="AJ23" s="66"/>
      <c r="AK23" s="74">
        <v>0</v>
      </c>
      <c r="AL23" s="68">
        <v>0</v>
      </c>
      <c r="AM23" s="69">
        <v>0</v>
      </c>
      <c r="AN23" s="74">
        <f t="shared" si="3"/>
        <v>0</v>
      </c>
      <c r="AO23" s="70"/>
      <c r="AP23" s="74">
        <v>0</v>
      </c>
      <c r="AQ23" s="68">
        <f t="shared" si="0"/>
        <v>0</v>
      </c>
      <c r="AR23" s="68">
        <f t="shared" si="1"/>
        <v>0</v>
      </c>
      <c r="AS23" s="68">
        <v>0</v>
      </c>
      <c r="AT23" s="68">
        <v>0</v>
      </c>
      <c r="AU23" s="68">
        <f t="shared" si="2"/>
        <v>0</v>
      </c>
      <c r="AV23" s="66"/>
      <c r="AW23" s="75"/>
    </row>
    <row r="24" spans="2:49" s="92" customFormat="1">
      <c r="B24" s="62">
        <v>18</v>
      </c>
      <c r="C24" s="63" t="s">
        <v>719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 t="s">
        <v>836</v>
      </c>
      <c r="O24" s="62">
        <v>15591781</v>
      </c>
      <c r="P24" s="62">
        <v>970427179</v>
      </c>
      <c r="Q24" s="76" t="s">
        <v>865</v>
      </c>
      <c r="R24" s="62" t="s">
        <v>675</v>
      </c>
      <c r="S24" s="62" t="s">
        <v>675</v>
      </c>
      <c r="T24" s="73">
        <v>4</v>
      </c>
      <c r="U24" s="62" t="s">
        <v>675</v>
      </c>
      <c r="V24" s="62" t="s">
        <v>838</v>
      </c>
      <c r="W24" s="62" t="s">
        <v>850</v>
      </c>
      <c r="X24" s="62" t="s">
        <v>840</v>
      </c>
      <c r="Y24" s="81">
        <v>46125</v>
      </c>
      <c r="Z24" s="65" t="s">
        <v>851</v>
      </c>
      <c r="AA24" s="81">
        <v>46083</v>
      </c>
      <c r="AB24" s="65" t="s">
        <v>675</v>
      </c>
      <c r="AC24" s="62" t="s">
        <v>68</v>
      </c>
      <c r="AD24" s="62" t="s">
        <v>675</v>
      </c>
      <c r="AE24" s="62" t="s">
        <v>675</v>
      </c>
      <c r="AF24" s="62" t="s">
        <v>673</v>
      </c>
      <c r="AG24" s="62" t="s">
        <v>841</v>
      </c>
      <c r="AH24" s="62" t="s">
        <v>675</v>
      </c>
      <c r="AI24" s="62" t="s">
        <v>32</v>
      </c>
      <c r="AJ24" s="66"/>
      <c r="AK24" s="74">
        <v>0</v>
      </c>
      <c r="AL24" s="68">
        <v>0</v>
      </c>
      <c r="AM24" s="69">
        <v>0</v>
      </c>
      <c r="AN24" s="74">
        <f t="shared" si="3"/>
        <v>0</v>
      </c>
      <c r="AO24" s="70"/>
      <c r="AP24" s="74">
        <v>0</v>
      </c>
      <c r="AQ24" s="68">
        <f t="shared" si="0"/>
        <v>0</v>
      </c>
      <c r="AR24" s="68">
        <f t="shared" si="1"/>
        <v>0</v>
      </c>
      <c r="AS24" s="68">
        <v>0</v>
      </c>
      <c r="AT24" s="68">
        <v>0</v>
      </c>
      <c r="AU24" s="68">
        <f t="shared" si="2"/>
        <v>0</v>
      </c>
      <c r="AV24" s="61"/>
      <c r="AW24" s="71"/>
    </row>
    <row r="25" spans="2:49" s="92" customFormat="1">
      <c r="B25" s="62">
        <v>19</v>
      </c>
      <c r="C25" s="63" t="s">
        <v>785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 t="s">
        <v>836</v>
      </c>
      <c r="O25" s="62">
        <v>40382257</v>
      </c>
      <c r="P25" s="62">
        <v>936649961</v>
      </c>
      <c r="Q25" s="76" t="s">
        <v>866</v>
      </c>
      <c r="R25" s="62" t="s">
        <v>675</v>
      </c>
      <c r="S25" s="62" t="s">
        <v>675</v>
      </c>
      <c r="T25" s="73">
        <v>12</v>
      </c>
      <c r="U25" s="62" t="s">
        <v>675</v>
      </c>
      <c r="V25" s="62" t="s">
        <v>838</v>
      </c>
      <c r="W25" s="62" t="s">
        <v>839</v>
      </c>
      <c r="X25" s="62" t="s">
        <v>840</v>
      </c>
      <c r="Y25" s="65"/>
      <c r="Z25" s="65"/>
      <c r="AA25" s="65"/>
      <c r="AB25" s="65" t="s">
        <v>675</v>
      </c>
      <c r="AC25" s="62" t="s">
        <v>68</v>
      </c>
      <c r="AD25" s="62" t="s">
        <v>675</v>
      </c>
      <c r="AE25" s="62" t="s">
        <v>675</v>
      </c>
      <c r="AF25" s="62" t="s">
        <v>679</v>
      </c>
      <c r="AG25" s="62" t="s">
        <v>841</v>
      </c>
      <c r="AH25" s="62" t="s">
        <v>675</v>
      </c>
      <c r="AI25" s="62" t="s">
        <v>32</v>
      </c>
      <c r="AJ25" s="66"/>
      <c r="AK25" s="74">
        <v>0</v>
      </c>
      <c r="AL25" s="68">
        <v>0</v>
      </c>
      <c r="AM25" s="69">
        <v>0</v>
      </c>
      <c r="AN25" s="74">
        <f t="shared" si="3"/>
        <v>0</v>
      </c>
      <c r="AO25" s="70"/>
      <c r="AP25" s="74">
        <v>0</v>
      </c>
      <c r="AQ25" s="68">
        <f t="shared" si="0"/>
        <v>0</v>
      </c>
      <c r="AR25" s="68">
        <f t="shared" si="1"/>
        <v>0</v>
      </c>
      <c r="AS25" s="68">
        <v>0</v>
      </c>
      <c r="AT25" s="68">
        <v>0</v>
      </c>
      <c r="AU25" s="68">
        <f t="shared" si="2"/>
        <v>0</v>
      </c>
      <c r="AV25" s="66"/>
      <c r="AW25" s="75"/>
    </row>
    <row r="26" spans="2:49" s="92" customFormat="1">
      <c r="B26" s="62">
        <v>20</v>
      </c>
      <c r="C26" s="63" t="s">
        <v>693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836</v>
      </c>
      <c r="O26" s="96" t="s">
        <v>692</v>
      </c>
      <c r="P26" s="62">
        <v>940716638</v>
      </c>
      <c r="Q26" s="76" t="s">
        <v>867</v>
      </c>
      <c r="R26" s="76" t="s">
        <v>694</v>
      </c>
      <c r="S26" s="62">
        <v>15</v>
      </c>
      <c r="T26" s="73">
        <v>10</v>
      </c>
      <c r="U26" s="62" t="s">
        <v>838</v>
      </c>
      <c r="V26" s="62" t="s">
        <v>838</v>
      </c>
      <c r="W26" s="62" t="s">
        <v>846</v>
      </c>
      <c r="X26" s="62" t="s">
        <v>840</v>
      </c>
      <c r="Y26" s="81">
        <v>45782</v>
      </c>
      <c r="Z26" s="65"/>
      <c r="AA26" s="65"/>
      <c r="AB26" s="65" t="s">
        <v>68</v>
      </c>
      <c r="AC26" s="62" t="s">
        <v>68</v>
      </c>
      <c r="AD26" s="62" t="s">
        <v>673</v>
      </c>
      <c r="AE26" s="62" t="s">
        <v>841</v>
      </c>
      <c r="AF26" s="62" t="s">
        <v>686</v>
      </c>
      <c r="AG26" s="62" t="s">
        <v>841</v>
      </c>
      <c r="AH26" s="62" t="s">
        <v>32</v>
      </c>
      <c r="AI26" s="62" t="s">
        <v>32</v>
      </c>
      <c r="AJ26" s="66"/>
      <c r="AK26" s="74">
        <v>0</v>
      </c>
      <c r="AL26" s="68">
        <v>0</v>
      </c>
      <c r="AM26" s="69">
        <v>0</v>
      </c>
      <c r="AN26" s="74">
        <f t="shared" si="3"/>
        <v>0</v>
      </c>
      <c r="AO26" s="70"/>
      <c r="AP26" s="74">
        <v>0</v>
      </c>
      <c r="AQ26" s="68">
        <f t="shared" si="0"/>
        <v>0</v>
      </c>
      <c r="AR26" s="68">
        <f t="shared" si="1"/>
        <v>0</v>
      </c>
      <c r="AS26" s="68">
        <v>0</v>
      </c>
      <c r="AT26" s="68">
        <v>0</v>
      </c>
      <c r="AU26" s="68">
        <f t="shared" si="2"/>
        <v>0</v>
      </c>
      <c r="AV26" s="61"/>
      <c r="AW26" s="71"/>
    </row>
    <row r="27" spans="2:49" s="92" customFormat="1">
      <c r="B27" s="62">
        <v>21</v>
      </c>
      <c r="C27" s="63" t="s">
        <v>695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836</v>
      </c>
      <c r="O27" s="62">
        <v>41208519</v>
      </c>
      <c r="P27" s="62">
        <v>985001402</v>
      </c>
      <c r="Q27" s="76" t="s">
        <v>868</v>
      </c>
      <c r="R27" s="76" t="s">
        <v>696</v>
      </c>
      <c r="S27" s="62">
        <v>17</v>
      </c>
      <c r="T27" s="73">
        <v>15</v>
      </c>
      <c r="U27" s="62" t="s">
        <v>838</v>
      </c>
      <c r="V27" s="62" t="s">
        <v>838</v>
      </c>
      <c r="W27" s="62" t="s">
        <v>846</v>
      </c>
      <c r="X27" s="62" t="s">
        <v>840</v>
      </c>
      <c r="Y27" s="81">
        <v>45922</v>
      </c>
      <c r="Z27" s="65"/>
      <c r="AA27" s="65"/>
      <c r="AB27" s="65" t="s">
        <v>68</v>
      </c>
      <c r="AC27" s="62" t="s">
        <v>68</v>
      </c>
      <c r="AD27" s="62" t="s">
        <v>686</v>
      </c>
      <c r="AE27" s="62" t="s">
        <v>841</v>
      </c>
      <c r="AF27" s="62" t="s">
        <v>673</v>
      </c>
      <c r="AG27" s="62" t="s">
        <v>841</v>
      </c>
      <c r="AH27" s="62" t="s">
        <v>20</v>
      </c>
      <c r="AI27" s="62" t="s">
        <v>32</v>
      </c>
      <c r="AJ27" s="66"/>
      <c r="AK27" s="74">
        <v>0</v>
      </c>
      <c r="AL27" s="68">
        <v>0</v>
      </c>
      <c r="AM27" s="69">
        <v>0</v>
      </c>
      <c r="AN27" s="74">
        <f t="shared" si="3"/>
        <v>0</v>
      </c>
      <c r="AO27" s="70"/>
      <c r="AP27" s="74">
        <v>0</v>
      </c>
      <c r="AQ27" s="68">
        <f t="shared" si="0"/>
        <v>0</v>
      </c>
      <c r="AR27" s="68">
        <f t="shared" si="1"/>
        <v>0</v>
      </c>
      <c r="AS27" s="68">
        <v>0</v>
      </c>
      <c r="AT27" s="68">
        <v>0</v>
      </c>
      <c r="AU27" s="68">
        <f t="shared" si="2"/>
        <v>0</v>
      </c>
      <c r="AV27" s="66"/>
      <c r="AW27" s="75"/>
    </row>
    <row r="28" spans="2:49" s="92" customFormat="1">
      <c r="B28" s="62">
        <v>22</v>
      </c>
      <c r="C28" s="63" t="s">
        <v>697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836</v>
      </c>
      <c r="O28" s="62">
        <v>44398451</v>
      </c>
      <c r="P28" s="62">
        <v>989336775</v>
      </c>
      <c r="Q28" s="76" t="s">
        <v>869</v>
      </c>
      <c r="R28" s="76" t="s">
        <v>698</v>
      </c>
      <c r="S28" s="62">
        <v>13</v>
      </c>
      <c r="T28" s="73">
        <v>14</v>
      </c>
      <c r="U28" s="62" t="s">
        <v>838</v>
      </c>
      <c r="V28" s="62" t="s">
        <v>838</v>
      </c>
      <c r="W28" s="62" t="s">
        <v>846</v>
      </c>
      <c r="X28" s="62" t="s">
        <v>840</v>
      </c>
      <c r="Y28" s="81">
        <v>45771</v>
      </c>
      <c r="Z28" s="65"/>
      <c r="AA28" s="65"/>
      <c r="AB28" s="65" t="s">
        <v>68</v>
      </c>
      <c r="AC28" s="62" t="s">
        <v>68</v>
      </c>
      <c r="AD28" s="62" t="s">
        <v>847</v>
      </c>
      <c r="AE28" s="62" t="s">
        <v>841</v>
      </c>
      <c r="AF28" s="62" t="s">
        <v>673</v>
      </c>
      <c r="AG28" s="62" t="s">
        <v>841</v>
      </c>
      <c r="AH28" s="62" t="s">
        <v>32</v>
      </c>
      <c r="AI28" s="62" t="s">
        <v>32</v>
      </c>
      <c r="AJ28" s="66"/>
      <c r="AK28" s="74">
        <v>0</v>
      </c>
      <c r="AL28" s="68">
        <v>0</v>
      </c>
      <c r="AM28" s="69">
        <v>0</v>
      </c>
      <c r="AN28" s="74">
        <f t="shared" si="3"/>
        <v>0</v>
      </c>
      <c r="AO28" s="70"/>
      <c r="AP28" s="74">
        <v>0</v>
      </c>
      <c r="AQ28" s="68">
        <f t="shared" si="0"/>
        <v>0</v>
      </c>
      <c r="AR28" s="68">
        <f t="shared" si="1"/>
        <v>0</v>
      </c>
      <c r="AS28" s="68">
        <v>0</v>
      </c>
      <c r="AT28" s="68">
        <v>0</v>
      </c>
      <c r="AU28" s="68">
        <f t="shared" si="2"/>
        <v>0</v>
      </c>
      <c r="AV28" s="61"/>
      <c r="AW28" s="71"/>
    </row>
    <row r="29" spans="2:49" s="92" customFormat="1">
      <c r="B29" s="62">
        <v>23</v>
      </c>
      <c r="C29" s="63" t="s">
        <v>720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836</v>
      </c>
      <c r="O29" s="62">
        <v>15590660</v>
      </c>
      <c r="P29" s="62">
        <v>987923259</v>
      </c>
      <c r="Q29" s="76" t="s">
        <v>870</v>
      </c>
      <c r="R29" s="62" t="s">
        <v>675</v>
      </c>
      <c r="S29" s="62" t="s">
        <v>675</v>
      </c>
      <c r="T29" s="73">
        <v>4</v>
      </c>
      <c r="U29" s="62" t="s">
        <v>675</v>
      </c>
      <c r="V29" s="62" t="s">
        <v>838</v>
      </c>
      <c r="W29" s="62" t="s">
        <v>850</v>
      </c>
      <c r="X29" s="62" t="s">
        <v>840</v>
      </c>
      <c r="Y29" s="81">
        <v>46125</v>
      </c>
      <c r="Z29" s="65" t="s">
        <v>851</v>
      </c>
      <c r="AA29" s="81">
        <v>46083</v>
      </c>
      <c r="AB29" s="65" t="s">
        <v>675</v>
      </c>
      <c r="AC29" s="62" t="s">
        <v>68</v>
      </c>
      <c r="AD29" s="62" t="s">
        <v>675</v>
      </c>
      <c r="AE29" s="62" t="s">
        <v>675</v>
      </c>
      <c r="AF29" s="62" t="s">
        <v>683</v>
      </c>
      <c r="AG29" s="62" t="s">
        <v>856</v>
      </c>
      <c r="AH29" s="62" t="s">
        <v>675</v>
      </c>
      <c r="AI29" s="62" t="s">
        <v>32</v>
      </c>
      <c r="AJ29" s="66"/>
      <c r="AK29" s="74">
        <v>0</v>
      </c>
      <c r="AL29" s="68">
        <v>0</v>
      </c>
      <c r="AM29" s="69">
        <v>0</v>
      </c>
      <c r="AN29" s="74">
        <f t="shared" si="3"/>
        <v>0</v>
      </c>
      <c r="AO29" s="70"/>
      <c r="AP29" s="74">
        <v>0</v>
      </c>
      <c r="AQ29" s="68">
        <f t="shared" si="0"/>
        <v>0</v>
      </c>
      <c r="AR29" s="68">
        <f t="shared" si="1"/>
        <v>0</v>
      </c>
      <c r="AS29" s="68">
        <v>0</v>
      </c>
      <c r="AT29" s="68">
        <v>0</v>
      </c>
      <c r="AU29" s="68">
        <f t="shared" si="2"/>
        <v>0</v>
      </c>
      <c r="AV29" s="66"/>
      <c r="AW29" s="75"/>
    </row>
    <row r="30" spans="2:49" s="92" customFormat="1">
      <c r="B30" s="62">
        <v>24</v>
      </c>
      <c r="C30" s="63" t="s">
        <v>721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 t="s">
        <v>836</v>
      </c>
      <c r="O30" s="62">
        <v>15688249</v>
      </c>
      <c r="P30" s="62">
        <v>961433324</v>
      </c>
      <c r="Q30" s="76" t="s">
        <v>871</v>
      </c>
      <c r="R30" s="62" t="s">
        <v>675</v>
      </c>
      <c r="S30" s="62" t="s">
        <v>675</v>
      </c>
      <c r="T30" s="73">
        <v>9</v>
      </c>
      <c r="U30" s="62" t="s">
        <v>675</v>
      </c>
      <c r="V30" s="62" t="s">
        <v>838</v>
      </c>
      <c r="W30" s="62" t="s">
        <v>850</v>
      </c>
      <c r="X30" s="62" t="s">
        <v>840</v>
      </c>
      <c r="Y30" s="81">
        <v>46125</v>
      </c>
      <c r="Z30" s="65" t="s">
        <v>851</v>
      </c>
      <c r="AA30" s="81">
        <v>46083</v>
      </c>
      <c r="AB30" s="65" t="s">
        <v>675</v>
      </c>
      <c r="AC30" s="62" t="s">
        <v>68</v>
      </c>
      <c r="AD30" s="62" t="s">
        <v>675</v>
      </c>
      <c r="AE30" s="62" t="s">
        <v>675</v>
      </c>
      <c r="AF30" s="62" t="s">
        <v>683</v>
      </c>
      <c r="AG30" s="62" t="s">
        <v>856</v>
      </c>
      <c r="AH30" s="62" t="s">
        <v>675</v>
      </c>
      <c r="AI30" s="62" t="s">
        <v>32</v>
      </c>
      <c r="AJ30" s="66"/>
      <c r="AK30" s="74">
        <v>0</v>
      </c>
      <c r="AL30" s="68">
        <v>0</v>
      </c>
      <c r="AM30" s="69">
        <v>0</v>
      </c>
      <c r="AN30" s="74">
        <f t="shared" si="3"/>
        <v>0</v>
      </c>
      <c r="AO30" s="70"/>
      <c r="AP30" s="74">
        <v>0</v>
      </c>
      <c r="AQ30" s="68">
        <f t="shared" si="0"/>
        <v>0</v>
      </c>
      <c r="AR30" s="68">
        <f t="shared" si="1"/>
        <v>0</v>
      </c>
      <c r="AS30" s="68">
        <v>0</v>
      </c>
      <c r="AT30" s="68">
        <v>0</v>
      </c>
      <c r="AU30" s="68">
        <f t="shared" si="2"/>
        <v>0</v>
      </c>
      <c r="AV30" s="61"/>
      <c r="AW30" s="71"/>
    </row>
    <row r="31" spans="2:49" s="92" customFormat="1">
      <c r="B31" s="62">
        <v>25</v>
      </c>
      <c r="C31" s="63" t="s">
        <v>722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 t="s">
        <v>836</v>
      </c>
      <c r="O31" s="62">
        <v>40740790</v>
      </c>
      <c r="P31" s="62">
        <v>924012573</v>
      </c>
      <c r="Q31" s="76" t="s">
        <v>872</v>
      </c>
      <c r="R31" s="62" t="s">
        <v>675</v>
      </c>
      <c r="S31" s="62" t="s">
        <v>675</v>
      </c>
      <c r="T31" s="73">
        <v>20</v>
      </c>
      <c r="U31" s="62" t="s">
        <v>675</v>
      </c>
      <c r="V31" s="62" t="s">
        <v>838</v>
      </c>
      <c r="W31" s="62" t="s">
        <v>850</v>
      </c>
      <c r="X31" s="62" t="s">
        <v>840</v>
      </c>
      <c r="Y31" s="81">
        <v>46125</v>
      </c>
      <c r="Z31" s="65" t="s">
        <v>851</v>
      </c>
      <c r="AA31" s="81">
        <v>46083</v>
      </c>
      <c r="AB31" s="65" t="s">
        <v>675</v>
      </c>
      <c r="AC31" s="62" t="s">
        <v>68</v>
      </c>
      <c r="AD31" s="62" t="s">
        <v>675</v>
      </c>
      <c r="AE31" s="62" t="s">
        <v>675</v>
      </c>
      <c r="AF31" s="62" t="s">
        <v>679</v>
      </c>
      <c r="AG31" s="62" t="s">
        <v>841</v>
      </c>
      <c r="AH31" s="62" t="s">
        <v>675</v>
      </c>
      <c r="AI31" s="62" t="s">
        <v>32</v>
      </c>
      <c r="AJ31" s="66"/>
      <c r="AK31" s="74">
        <v>0</v>
      </c>
      <c r="AL31" s="68">
        <v>0</v>
      </c>
      <c r="AM31" s="69">
        <v>0</v>
      </c>
      <c r="AN31" s="74">
        <f t="shared" si="3"/>
        <v>0</v>
      </c>
      <c r="AO31" s="70"/>
      <c r="AP31" s="74">
        <v>0</v>
      </c>
      <c r="AQ31" s="68">
        <f t="shared" si="0"/>
        <v>0</v>
      </c>
      <c r="AR31" s="68">
        <f t="shared" si="1"/>
        <v>0</v>
      </c>
      <c r="AS31" s="68">
        <v>0</v>
      </c>
      <c r="AT31" s="68">
        <v>0</v>
      </c>
      <c r="AU31" s="68">
        <f t="shared" si="2"/>
        <v>0</v>
      </c>
      <c r="AV31" s="66"/>
      <c r="AW31" s="75"/>
    </row>
    <row r="32" spans="2:49" s="92" customFormat="1">
      <c r="B32" s="62">
        <v>26</v>
      </c>
      <c r="C32" s="63" t="s">
        <v>723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 t="s">
        <v>836</v>
      </c>
      <c r="O32" s="62">
        <v>15725118</v>
      </c>
      <c r="P32" s="62">
        <v>970656047</v>
      </c>
      <c r="Q32" s="76" t="s">
        <v>873</v>
      </c>
      <c r="R32" s="62" t="s">
        <v>675</v>
      </c>
      <c r="S32" s="62" t="s">
        <v>675</v>
      </c>
      <c r="T32" s="73">
        <v>4</v>
      </c>
      <c r="U32" s="62" t="s">
        <v>675</v>
      </c>
      <c r="V32" s="62" t="s">
        <v>838</v>
      </c>
      <c r="W32" s="62" t="s">
        <v>850</v>
      </c>
      <c r="X32" s="62" t="s">
        <v>840</v>
      </c>
      <c r="Y32" s="81">
        <v>46125</v>
      </c>
      <c r="Z32" s="65" t="s">
        <v>851</v>
      </c>
      <c r="AA32" s="81">
        <v>46083</v>
      </c>
      <c r="AB32" s="65" t="s">
        <v>675</v>
      </c>
      <c r="AC32" s="62" t="s">
        <v>68</v>
      </c>
      <c r="AD32" s="62" t="s">
        <v>675</v>
      </c>
      <c r="AE32" s="62" t="s">
        <v>675</v>
      </c>
      <c r="AF32" s="62" t="s">
        <v>683</v>
      </c>
      <c r="AG32" s="62" t="s">
        <v>841</v>
      </c>
      <c r="AH32" s="62" t="s">
        <v>675</v>
      </c>
      <c r="AI32" s="62" t="s">
        <v>32</v>
      </c>
      <c r="AJ32" s="66"/>
      <c r="AK32" s="74">
        <v>0</v>
      </c>
      <c r="AL32" s="68">
        <v>0</v>
      </c>
      <c r="AM32" s="69">
        <v>0</v>
      </c>
      <c r="AN32" s="74">
        <f t="shared" si="3"/>
        <v>0</v>
      </c>
      <c r="AO32" s="70"/>
      <c r="AP32" s="74">
        <v>0</v>
      </c>
      <c r="AQ32" s="68">
        <f t="shared" si="0"/>
        <v>0</v>
      </c>
      <c r="AR32" s="68">
        <f t="shared" si="1"/>
        <v>0</v>
      </c>
      <c r="AS32" s="68">
        <v>0</v>
      </c>
      <c r="AT32" s="68">
        <v>0</v>
      </c>
      <c r="AU32" s="68">
        <f t="shared" si="2"/>
        <v>0</v>
      </c>
      <c r="AV32" s="61"/>
      <c r="AW32" s="71"/>
    </row>
    <row r="33" spans="2:49" s="92" customFormat="1">
      <c r="B33" s="62">
        <v>27</v>
      </c>
      <c r="C33" s="63" t="s">
        <v>699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 t="s">
        <v>836</v>
      </c>
      <c r="O33" s="62">
        <v>45165102</v>
      </c>
      <c r="P33" s="62">
        <v>952944920</v>
      </c>
      <c r="Q33" s="76" t="s">
        <v>874</v>
      </c>
      <c r="R33" s="76" t="s">
        <v>700</v>
      </c>
      <c r="S33" s="62">
        <v>16</v>
      </c>
      <c r="T33" s="73">
        <v>8</v>
      </c>
      <c r="U33" s="62" t="s">
        <v>838</v>
      </c>
      <c r="V33" s="62" t="s">
        <v>838</v>
      </c>
      <c r="W33" s="62" t="s">
        <v>846</v>
      </c>
      <c r="X33" s="62" t="s">
        <v>840</v>
      </c>
      <c r="Y33" s="81">
        <v>45771</v>
      </c>
      <c r="Z33" s="65"/>
      <c r="AA33" s="65"/>
      <c r="AB33" s="65" t="s">
        <v>68</v>
      </c>
      <c r="AC33" s="62" t="s">
        <v>68</v>
      </c>
      <c r="AD33" s="62" t="s">
        <v>858</v>
      </c>
      <c r="AE33" s="62" t="s">
        <v>841</v>
      </c>
      <c r="AF33" s="62" t="s">
        <v>673</v>
      </c>
      <c r="AG33" s="62" t="s">
        <v>856</v>
      </c>
      <c r="AH33" s="62" t="s">
        <v>32</v>
      </c>
      <c r="AI33" s="62" t="s">
        <v>32</v>
      </c>
      <c r="AJ33" s="66"/>
      <c r="AK33" s="74">
        <v>0</v>
      </c>
      <c r="AL33" s="68">
        <v>0</v>
      </c>
      <c r="AM33" s="69">
        <v>0</v>
      </c>
      <c r="AN33" s="74">
        <f t="shared" si="3"/>
        <v>0</v>
      </c>
      <c r="AO33" s="70"/>
      <c r="AP33" s="74">
        <v>0</v>
      </c>
      <c r="AQ33" s="68">
        <f t="shared" si="0"/>
        <v>0</v>
      </c>
      <c r="AR33" s="68">
        <f t="shared" si="1"/>
        <v>0</v>
      </c>
      <c r="AS33" s="68">
        <v>0</v>
      </c>
      <c r="AT33" s="68">
        <v>0</v>
      </c>
      <c r="AU33" s="68">
        <f t="shared" si="2"/>
        <v>0</v>
      </c>
      <c r="AV33" s="66"/>
      <c r="AW33" s="75"/>
    </row>
    <row r="34" spans="2:49" s="92" customFormat="1">
      <c r="B34" s="62">
        <v>28</v>
      </c>
      <c r="C34" s="63" t="s">
        <v>724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 t="s">
        <v>836</v>
      </c>
      <c r="O34" s="62">
        <v>43027985</v>
      </c>
      <c r="P34" s="62">
        <v>964034650</v>
      </c>
      <c r="Q34" s="76" t="s">
        <v>875</v>
      </c>
      <c r="R34" s="62" t="s">
        <v>675</v>
      </c>
      <c r="S34" s="62" t="s">
        <v>675</v>
      </c>
      <c r="T34" s="73">
        <v>9</v>
      </c>
      <c r="U34" s="62" t="s">
        <v>675</v>
      </c>
      <c r="V34" s="62" t="s">
        <v>838</v>
      </c>
      <c r="W34" s="62" t="s">
        <v>850</v>
      </c>
      <c r="X34" s="62" t="s">
        <v>840</v>
      </c>
      <c r="Y34" s="81">
        <v>46125</v>
      </c>
      <c r="Z34" s="65" t="s">
        <v>851</v>
      </c>
      <c r="AA34" s="81">
        <v>46083</v>
      </c>
      <c r="AB34" s="65" t="s">
        <v>675</v>
      </c>
      <c r="AC34" s="62" t="s">
        <v>68</v>
      </c>
      <c r="AD34" s="62" t="s">
        <v>675</v>
      </c>
      <c r="AE34" s="62" t="s">
        <v>675</v>
      </c>
      <c r="AF34" s="62" t="s">
        <v>679</v>
      </c>
      <c r="AG34" s="62" t="s">
        <v>841</v>
      </c>
      <c r="AH34" s="62" t="s">
        <v>675</v>
      </c>
      <c r="AI34" s="62" t="s">
        <v>20</v>
      </c>
      <c r="AJ34" s="66"/>
      <c r="AK34" s="74">
        <v>0</v>
      </c>
      <c r="AL34" s="68">
        <v>0</v>
      </c>
      <c r="AM34" s="69">
        <v>0</v>
      </c>
      <c r="AN34" s="74">
        <f t="shared" si="3"/>
        <v>0</v>
      </c>
      <c r="AO34" s="70"/>
      <c r="AP34" s="74">
        <v>0</v>
      </c>
      <c r="AQ34" s="68">
        <f t="shared" si="0"/>
        <v>0</v>
      </c>
      <c r="AR34" s="68">
        <f t="shared" si="1"/>
        <v>0</v>
      </c>
      <c r="AS34" s="68">
        <v>0</v>
      </c>
      <c r="AT34" s="68">
        <v>0</v>
      </c>
      <c r="AU34" s="68">
        <f t="shared" si="2"/>
        <v>0</v>
      </c>
      <c r="AV34" s="61"/>
      <c r="AW34" s="71"/>
    </row>
    <row r="35" spans="2:49" s="92" customFormat="1">
      <c r="B35" s="62">
        <v>29</v>
      </c>
      <c r="C35" s="63" t="s">
        <v>725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 t="s">
        <v>836</v>
      </c>
      <c r="O35" s="62">
        <v>70179483</v>
      </c>
      <c r="P35" s="62">
        <v>983861568</v>
      </c>
      <c r="Q35" s="76" t="s">
        <v>876</v>
      </c>
      <c r="R35" s="62" t="s">
        <v>675</v>
      </c>
      <c r="S35" s="62" t="s">
        <v>675</v>
      </c>
      <c r="T35" s="73">
        <v>20</v>
      </c>
      <c r="U35" s="62" t="s">
        <v>675</v>
      </c>
      <c r="V35" s="62" t="s">
        <v>838</v>
      </c>
      <c r="W35" s="62" t="s">
        <v>850</v>
      </c>
      <c r="X35" s="62" t="s">
        <v>840</v>
      </c>
      <c r="Y35" s="81">
        <v>46125</v>
      </c>
      <c r="Z35" s="65" t="s">
        <v>851</v>
      </c>
      <c r="AA35" s="81">
        <v>46083</v>
      </c>
      <c r="AB35" s="65" t="s">
        <v>675</v>
      </c>
      <c r="AC35" s="62" t="s">
        <v>68</v>
      </c>
      <c r="AD35" s="62" t="s">
        <v>675</v>
      </c>
      <c r="AE35" s="62" t="s">
        <v>675</v>
      </c>
      <c r="AF35" s="62" t="s">
        <v>686</v>
      </c>
      <c r="AG35" s="62" t="s">
        <v>841</v>
      </c>
      <c r="AH35" s="62" t="s">
        <v>675</v>
      </c>
      <c r="AI35" s="62" t="s">
        <v>32</v>
      </c>
      <c r="AJ35" s="66"/>
      <c r="AK35" s="74">
        <v>0</v>
      </c>
      <c r="AL35" s="68">
        <v>0</v>
      </c>
      <c r="AM35" s="69">
        <v>0</v>
      </c>
      <c r="AN35" s="74">
        <f t="shared" si="3"/>
        <v>0</v>
      </c>
      <c r="AO35" s="70"/>
      <c r="AP35" s="74">
        <v>0</v>
      </c>
      <c r="AQ35" s="68">
        <f t="shared" si="0"/>
        <v>0</v>
      </c>
      <c r="AR35" s="68">
        <f t="shared" si="1"/>
        <v>0</v>
      </c>
      <c r="AS35" s="68">
        <v>0</v>
      </c>
      <c r="AT35" s="68">
        <v>0</v>
      </c>
      <c r="AU35" s="68">
        <f t="shared" si="2"/>
        <v>0</v>
      </c>
      <c r="AV35" s="66"/>
      <c r="AW35" s="75"/>
    </row>
    <row r="36" spans="2:49" s="92" customFormat="1">
      <c r="B36" s="62">
        <v>30</v>
      </c>
      <c r="C36" s="63" t="s">
        <v>726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 t="s">
        <v>836</v>
      </c>
      <c r="O36" s="62">
        <v>15738084</v>
      </c>
      <c r="P36" s="62">
        <v>996174294</v>
      </c>
      <c r="Q36" s="76" t="s">
        <v>877</v>
      </c>
      <c r="R36" s="62" t="s">
        <v>675</v>
      </c>
      <c r="S36" s="62" t="s">
        <v>675</v>
      </c>
      <c r="T36" s="73">
        <v>14</v>
      </c>
      <c r="U36" s="62" t="s">
        <v>675</v>
      </c>
      <c r="V36" s="62" t="s">
        <v>838</v>
      </c>
      <c r="W36" s="62" t="s">
        <v>850</v>
      </c>
      <c r="X36" s="62" t="s">
        <v>840</v>
      </c>
      <c r="Y36" s="81">
        <v>46125</v>
      </c>
      <c r="Z36" s="65" t="s">
        <v>851</v>
      </c>
      <c r="AA36" s="81">
        <v>46083</v>
      </c>
      <c r="AB36" s="65" t="s">
        <v>675</v>
      </c>
      <c r="AC36" s="62" t="s">
        <v>68</v>
      </c>
      <c r="AD36" s="62" t="s">
        <v>675</v>
      </c>
      <c r="AE36" s="62" t="s">
        <v>675</v>
      </c>
      <c r="AF36" s="62" t="s">
        <v>686</v>
      </c>
      <c r="AG36" s="62" t="s">
        <v>841</v>
      </c>
      <c r="AH36" s="62" t="s">
        <v>675</v>
      </c>
      <c r="AI36" s="62" t="s">
        <v>41</v>
      </c>
      <c r="AJ36" s="66"/>
      <c r="AK36" s="74">
        <v>0</v>
      </c>
      <c r="AL36" s="68">
        <v>0</v>
      </c>
      <c r="AM36" s="69">
        <v>0</v>
      </c>
      <c r="AN36" s="74">
        <f t="shared" si="3"/>
        <v>0</v>
      </c>
      <c r="AO36" s="70"/>
      <c r="AP36" s="74">
        <v>0</v>
      </c>
      <c r="AQ36" s="68">
        <f t="shared" si="0"/>
        <v>0</v>
      </c>
      <c r="AR36" s="68">
        <f t="shared" si="1"/>
        <v>0</v>
      </c>
      <c r="AS36" s="68">
        <v>0</v>
      </c>
      <c r="AT36" s="68">
        <v>0</v>
      </c>
      <c r="AU36" s="68">
        <f t="shared" si="2"/>
        <v>0</v>
      </c>
      <c r="AV36" s="61"/>
      <c r="AW36" s="71"/>
    </row>
    <row r="37" spans="2:49" s="92" customFormat="1">
      <c r="B37" s="62">
        <v>31</v>
      </c>
      <c r="C37" s="63" t="s">
        <v>727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 t="s">
        <v>836</v>
      </c>
      <c r="O37" s="62">
        <v>26629386</v>
      </c>
      <c r="P37" s="62">
        <v>982604568</v>
      </c>
      <c r="Q37" s="76" t="s">
        <v>878</v>
      </c>
      <c r="R37" s="62" t="s">
        <v>675</v>
      </c>
      <c r="S37" s="62" t="s">
        <v>675</v>
      </c>
      <c r="T37" s="73">
        <v>8</v>
      </c>
      <c r="U37" s="62" t="s">
        <v>675</v>
      </c>
      <c r="V37" s="62" t="s">
        <v>838</v>
      </c>
      <c r="W37" s="62" t="s">
        <v>850</v>
      </c>
      <c r="X37" s="62" t="s">
        <v>840</v>
      </c>
      <c r="Y37" s="81">
        <v>46125</v>
      </c>
      <c r="Z37" s="65" t="s">
        <v>879</v>
      </c>
      <c r="AA37" s="81">
        <v>46105</v>
      </c>
      <c r="AB37" s="65" t="s">
        <v>675</v>
      </c>
      <c r="AC37" s="65" t="s">
        <v>19</v>
      </c>
      <c r="AD37" s="62" t="s">
        <v>675</v>
      </c>
      <c r="AE37" s="62" t="s">
        <v>675</v>
      </c>
      <c r="AF37" s="62" t="s">
        <v>728</v>
      </c>
      <c r="AG37" s="62" t="s">
        <v>856</v>
      </c>
      <c r="AH37" s="62" t="s">
        <v>675</v>
      </c>
      <c r="AI37" s="62" t="s">
        <v>20</v>
      </c>
      <c r="AJ37" s="66"/>
      <c r="AK37" s="74">
        <v>0</v>
      </c>
      <c r="AL37" s="68">
        <v>0</v>
      </c>
      <c r="AM37" s="69">
        <v>0</v>
      </c>
      <c r="AN37" s="74">
        <f t="shared" si="3"/>
        <v>0</v>
      </c>
      <c r="AO37" s="70"/>
      <c r="AP37" s="74">
        <v>0</v>
      </c>
      <c r="AQ37" s="68">
        <f t="shared" si="0"/>
        <v>0</v>
      </c>
      <c r="AR37" s="68">
        <f t="shared" si="1"/>
        <v>0</v>
      </c>
      <c r="AS37" s="68">
        <v>0</v>
      </c>
      <c r="AT37" s="68">
        <v>0</v>
      </c>
      <c r="AU37" s="68">
        <f t="shared" si="2"/>
        <v>0</v>
      </c>
      <c r="AV37" s="66"/>
      <c r="AW37" s="75"/>
    </row>
    <row r="38" spans="2:49" s="92" customFormat="1" ht="13.5">
      <c r="B38" s="62">
        <v>32</v>
      </c>
      <c r="C38" s="63" t="s">
        <v>701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 t="s">
        <v>836</v>
      </c>
      <c r="O38" s="97">
        <v>21814921</v>
      </c>
      <c r="P38" s="98">
        <v>906408102</v>
      </c>
      <c r="Q38" s="62" t="s">
        <v>675</v>
      </c>
      <c r="R38" s="99" t="s">
        <v>703</v>
      </c>
      <c r="S38" s="62">
        <v>15</v>
      </c>
      <c r="T38" s="73">
        <v>19</v>
      </c>
      <c r="U38" s="62" t="s">
        <v>838</v>
      </c>
      <c r="V38" s="62" t="s">
        <v>838</v>
      </c>
      <c r="W38" s="62" t="s">
        <v>846</v>
      </c>
      <c r="X38" s="62" t="s">
        <v>840</v>
      </c>
      <c r="Y38" s="81">
        <v>41821</v>
      </c>
      <c r="Z38" s="65"/>
      <c r="AA38" s="65"/>
      <c r="AB38" s="65" t="s">
        <v>19</v>
      </c>
      <c r="AC38" s="62" t="s">
        <v>19</v>
      </c>
      <c r="AD38" s="62" t="s">
        <v>702</v>
      </c>
      <c r="AE38" s="62" t="s">
        <v>841</v>
      </c>
      <c r="AF38" s="62" t="s">
        <v>702</v>
      </c>
      <c r="AG38" s="62" t="s">
        <v>841</v>
      </c>
      <c r="AH38" s="62" t="s">
        <v>32</v>
      </c>
      <c r="AI38" s="62" t="s">
        <v>32</v>
      </c>
      <c r="AJ38" s="66"/>
      <c r="AK38" s="74">
        <v>0</v>
      </c>
      <c r="AL38" s="68">
        <v>0</v>
      </c>
      <c r="AM38" s="69">
        <v>0</v>
      </c>
      <c r="AN38" s="74">
        <f t="shared" si="3"/>
        <v>0</v>
      </c>
      <c r="AO38" s="70"/>
      <c r="AP38" s="74">
        <v>0</v>
      </c>
      <c r="AQ38" s="68">
        <f t="shared" si="0"/>
        <v>0</v>
      </c>
      <c r="AR38" s="68">
        <f t="shared" si="1"/>
        <v>0</v>
      </c>
      <c r="AS38" s="68">
        <v>0</v>
      </c>
      <c r="AT38" s="68">
        <v>0</v>
      </c>
      <c r="AU38" s="68">
        <f t="shared" si="2"/>
        <v>0</v>
      </c>
      <c r="AV38" s="61"/>
      <c r="AW38" s="71"/>
    </row>
    <row r="39" spans="2:49" s="92" customFormat="1" ht="13.5">
      <c r="B39" s="62">
        <v>33</v>
      </c>
      <c r="C39" s="63" t="s">
        <v>704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 t="s">
        <v>836</v>
      </c>
      <c r="O39" s="103">
        <v>21522173</v>
      </c>
      <c r="P39" s="88">
        <v>920660685</v>
      </c>
      <c r="Q39" s="62" t="s">
        <v>675</v>
      </c>
      <c r="R39" s="80" t="s">
        <v>705</v>
      </c>
      <c r="S39" s="62">
        <v>16</v>
      </c>
      <c r="T39" s="73">
        <v>16</v>
      </c>
      <c r="U39" s="62" t="s">
        <v>838</v>
      </c>
      <c r="V39" s="62" t="s">
        <v>838</v>
      </c>
      <c r="W39" s="62" t="s">
        <v>846</v>
      </c>
      <c r="X39" s="62" t="s">
        <v>840</v>
      </c>
      <c r="Y39" s="81">
        <v>44634</v>
      </c>
      <c r="Z39" s="65"/>
      <c r="AA39" s="65"/>
      <c r="AB39" s="65" t="s">
        <v>40</v>
      </c>
      <c r="AC39" s="62" t="s">
        <v>40</v>
      </c>
      <c r="AD39" s="62" t="s">
        <v>679</v>
      </c>
      <c r="AE39" s="62" t="s">
        <v>856</v>
      </c>
      <c r="AF39" s="62" t="s">
        <v>679</v>
      </c>
      <c r="AG39" s="62" t="s">
        <v>856</v>
      </c>
      <c r="AH39" s="62" t="s">
        <v>20</v>
      </c>
      <c r="AI39" s="62" t="s">
        <v>20</v>
      </c>
      <c r="AJ39" s="66"/>
      <c r="AK39" s="74">
        <v>0</v>
      </c>
      <c r="AL39" s="68">
        <v>0</v>
      </c>
      <c r="AM39" s="69">
        <v>0</v>
      </c>
      <c r="AN39" s="74">
        <f t="shared" si="3"/>
        <v>0</v>
      </c>
      <c r="AO39" s="70"/>
      <c r="AP39" s="74">
        <v>0</v>
      </c>
      <c r="AQ39" s="68">
        <f t="shared" si="0"/>
        <v>0</v>
      </c>
      <c r="AR39" s="68">
        <f t="shared" si="1"/>
        <v>0</v>
      </c>
      <c r="AS39" s="68">
        <v>0</v>
      </c>
      <c r="AT39" s="68">
        <v>0</v>
      </c>
      <c r="AU39" s="68">
        <f t="shared" si="2"/>
        <v>0</v>
      </c>
      <c r="AV39" s="66"/>
      <c r="AW39" s="75"/>
    </row>
    <row r="40" spans="2:49" s="92" customFormat="1" ht="13.5">
      <c r="B40" s="62">
        <v>34</v>
      </c>
      <c r="C40" s="63" t="s">
        <v>707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 t="s">
        <v>836</v>
      </c>
      <c r="O40" s="88" t="s">
        <v>706</v>
      </c>
      <c r="P40" s="88">
        <v>956083663</v>
      </c>
      <c r="Q40" s="62" t="s">
        <v>675</v>
      </c>
      <c r="R40" s="80" t="s">
        <v>708</v>
      </c>
      <c r="S40" s="62">
        <v>9</v>
      </c>
      <c r="T40" s="73">
        <v>8</v>
      </c>
      <c r="U40" s="62" t="s">
        <v>838</v>
      </c>
      <c r="V40" s="62" t="s">
        <v>838</v>
      </c>
      <c r="W40" s="62" t="s">
        <v>846</v>
      </c>
      <c r="X40" s="62" t="s">
        <v>840</v>
      </c>
      <c r="Y40" s="81">
        <v>45922</v>
      </c>
      <c r="Z40" s="65"/>
      <c r="AA40" s="65"/>
      <c r="AB40" s="65" t="s">
        <v>19</v>
      </c>
      <c r="AC40" s="62" t="s">
        <v>19</v>
      </c>
      <c r="AD40" s="62" t="s">
        <v>679</v>
      </c>
      <c r="AE40" s="62" t="s">
        <v>841</v>
      </c>
      <c r="AF40" s="62" t="s">
        <v>679</v>
      </c>
      <c r="AG40" s="62" t="s">
        <v>841</v>
      </c>
      <c r="AH40" s="62" t="s">
        <v>32</v>
      </c>
      <c r="AI40" s="62" t="s">
        <v>20</v>
      </c>
      <c r="AJ40" s="66"/>
      <c r="AK40" s="74">
        <v>0</v>
      </c>
      <c r="AL40" s="68">
        <v>0</v>
      </c>
      <c r="AM40" s="69">
        <v>0</v>
      </c>
      <c r="AN40" s="74">
        <f t="shared" si="3"/>
        <v>0</v>
      </c>
      <c r="AO40" s="70"/>
      <c r="AP40" s="74">
        <v>0</v>
      </c>
      <c r="AQ40" s="68">
        <f t="shared" si="0"/>
        <v>0</v>
      </c>
      <c r="AR40" s="68">
        <f t="shared" si="1"/>
        <v>0</v>
      </c>
      <c r="AS40" s="68">
        <v>0</v>
      </c>
      <c r="AT40" s="68">
        <v>0</v>
      </c>
      <c r="AU40" s="68">
        <f t="shared" si="2"/>
        <v>0</v>
      </c>
      <c r="AV40" s="61"/>
      <c r="AW40" s="71"/>
    </row>
    <row r="41" spans="2:49" s="92" customFormat="1">
      <c r="B41" s="62">
        <v>35</v>
      </c>
      <c r="C41" s="63" t="s">
        <v>729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 t="s">
        <v>836</v>
      </c>
      <c r="O41" s="62">
        <v>44114929</v>
      </c>
      <c r="P41" s="62">
        <v>992110895</v>
      </c>
      <c r="Q41" s="76" t="s">
        <v>880</v>
      </c>
      <c r="R41" s="62" t="s">
        <v>675</v>
      </c>
      <c r="S41" s="62" t="s">
        <v>675</v>
      </c>
      <c r="T41" s="73">
        <v>10</v>
      </c>
      <c r="U41" s="62" t="s">
        <v>675</v>
      </c>
      <c r="V41" s="62" t="s">
        <v>838</v>
      </c>
      <c r="W41" s="62" t="s">
        <v>850</v>
      </c>
      <c r="X41" s="62" t="s">
        <v>840</v>
      </c>
      <c r="Y41" s="81">
        <v>46125</v>
      </c>
      <c r="Z41" s="65" t="s">
        <v>879</v>
      </c>
      <c r="AA41" s="81">
        <v>46105</v>
      </c>
      <c r="AB41" s="65" t="s">
        <v>675</v>
      </c>
      <c r="AC41" s="62" t="s">
        <v>19</v>
      </c>
      <c r="AD41" s="62" t="s">
        <v>675</v>
      </c>
      <c r="AE41" s="62" t="s">
        <v>675</v>
      </c>
      <c r="AF41" s="62" t="s">
        <v>683</v>
      </c>
      <c r="AG41" s="62" t="s">
        <v>856</v>
      </c>
      <c r="AH41" s="62" t="s">
        <v>675</v>
      </c>
      <c r="AI41" s="62" t="s">
        <v>20</v>
      </c>
      <c r="AJ41" s="66"/>
      <c r="AK41" s="74">
        <v>0</v>
      </c>
      <c r="AL41" s="68">
        <v>0</v>
      </c>
      <c r="AM41" s="69">
        <v>0</v>
      </c>
      <c r="AN41" s="74">
        <f t="shared" si="3"/>
        <v>0</v>
      </c>
      <c r="AO41" s="70"/>
      <c r="AP41" s="74">
        <v>0</v>
      </c>
      <c r="AQ41" s="68">
        <f t="shared" si="0"/>
        <v>0</v>
      </c>
      <c r="AR41" s="68">
        <f t="shared" si="1"/>
        <v>0</v>
      </c>
      <c r="AS41" s="68">
        <v>0</v>
      </c>
      <c r="AT41" s="68">
        <v>0</v>
      </c>
      <c r="AU41" s="68">
        <f t="shared" si="2"/>
        <v>0</v>
      </c>
      <c r="AV41" s="66"/>
      <c r="AW41" s="75"/>
    </row>
    <row r="42" spans="2:49" s="92" customFormat="1" ht="15">
      <c r="B42" s="62">
        <v>36</v>
      </c>
      <c r="C42" s="63" t="s">
        <v>730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 t="s">
        <v>836</v>
      </c>
      <c r="O42" s="62">
        <v>40435228</v>
      </c>
      <c r="P42" s="62">
        <v>990935896</v>
      </c>
      <c r="Q42" s="64" t="s">
        <v>881</v>
      </c>
      <c r="R42" s="62" t="s">
        <v>675</v>
      </c>
      <c r="S42" s="62" t="s">
        <v>675</v>
      </c>
      <c r="T42" s="73">
        <v>4</v>
      </c>
      <c r="U42" s="62" t="s">
        <v>675</v>
      </c>
      <c r="V42" s="62" t="s">
        <v>838</v>
      </c>
      <c r="W42" s="62" t="s">
        <v>850</v>
      </c>
      <c r="X42" s="62" t="s">
        <v>840</v>
      </c>
      <c r="Y42" s="81">
        <v>46125</v>
      </c>
      <c r="Z42" s="65" t="s">
        <v>879</v>
      </c>
      <c r="AA42" s="81">
        <v>46105</v>
      </c>
      <c r="AB42" s="65" t="s">
        <v>675</v>
      </c>
      <c r="AC42" s="62" t="s">
        <v>19</v>
      </c>
      <c r="AD42" s="62" t="s">
        <v>675</v>
      </c>
      <c r="AE42" s="62" t="s">
        <v>675</v>
      </c>
      <c r="AF42" s="62" t="s">
        <v>686</v>
      </c>
      <c r="AG42" s="62" t="s">
        <v>841</v>
      </c>
      <c r="AH42" s="62" t="s">
        <v>675</v>
      </c>
      <c r="AI42" s="62" t="s">
        <v>20</v>
      </c>
      <c r="AJ42" s="66"/>
      <c r="AK42" s="74">
        <v>0</v>
      </c>
      <c r="AL42" s="68">
        <v>0</v>
      </c>
      <c r="AM42" s="69">
        <v>0</v>
      </c>
      <c r="AN42" s="74">
        <f t="shared" si="3"/>
        <v>0</v>
      </c>
      <c r="AO42" s="70"/>
      <c r="AP42" s="74">
        <v>0</v>
      </c>
      <c r="AQ42" s="68">
        <f t="shared" si="0"/>
        <v>0</v>
      </c>
      <c r="AR42" s="68">
        <f t="shared" si="1"/>
        <v>0</v>
      </c>
      <c r="AS42" s="68">
        <v>0</v>
      </c>
      <c r="AT42" s="68">
        <v>0</v>
      </c>
      <c r="AU42" s="68">
        <f t="shared" si="2"/>
        <v>0</v>
      </c>
      <c r="AV42" s="61"/>
      <c r="AW42" s="71"/>
    </row>
    <row r="43" spans="2:49" s="92" customFormat="1">
      <c r="B43" s="62">
        <v>37</v>
      </c>
      <c r="C43" s="63" t="s">
        <v>731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 t="s">
        <v>836</v>
      </c>
      <c r="O43" s="62">
        <v>16756416</v>
      </c>
      <c r="P43" s="62">
        <v>972627821</v>
      </c>
      <c r="Q43" s="76" t="s">
        <v>882</v>
      </c>
      <c r="R43" s="62" t="s">
        <v>675</v>
      </c>
      <c r="S43" s="62" t="s">
        <v>675</v>
      </c>
      <c r="T43" s="73">
        <v>18</v>
      </c>
      <c r="U43" s="62" t="s">
        <v>675</v>
      </c>
      <c r="V43" s="62" t="s">
        <v>838</v>
      </c>
      <c r="W43" s="62" t="s">
        <v>850</v>
      </c>
      <c r="X43" s="62" t="s">
        <v>840</v>
      </c>
      <c r="Y43" s="81">
        <v>46125</v>
      </c>
      <c r="Z43" s="65" t="s">
        <v>879</v>
      </c>
      <c r="AA43" s="81">
        <v>46105</v>
      </c>
      <c r="AB43" s="65" t="s">
        <v>675</v>
      </c>
      <c r="AC43" s="62" t="s">
        <v>19</v>
      </c>
      <c r="AD43" s="62" t="s">
        <v>675</v>
      </c>
      <c r="AE43" s="62" t="s">
        <v>675</v>
      </c>
      <c r="AF43" s="62" t="s">
        <v>683</v>
      </c>
      <c r="AG43" s="62" t="s">
        <v>841</v>
      </c>
      <c r="AH43" s="62" t="s">
        <v>675</v>
      </c>
      <c r="AI43" s="62" t="s">
        <v>20</v>
      </c>
      <c r="AJ43" s="66"/>
      <c r="AK43" s="74">
        <v>0</v>
      </c>
      <c r="AL43" s="68">
        <v>0</v>
      </c>
      <c r="AM43" s="69">
        <v>0</v>
      </c>
      <c r="AN43" s="74">
        <f t="shared" si="3"/>
        <v>0</v>
      </c>
      <c r="AO43" s="70"/>
      <c r="AP43" s="74">
        <v>0</v>
      </c>
      <c r="AQ43" s="68">
        <f t="shared" si="0"/>
        <v>0</v>
      </c>
      <c r="AR43" s="68">
        <f t="shared" si="1"/>
        <v>0</v>
      </c>
      <c r="AS43" s="68">
        <v>0</v>
      </c>
      <c r="AT43" s="68">
        <v>0</v>
      </c>
      <c r="AU43" s="68">
        <f t="shared" si="2"/>
        <v>0</v>
      </c>
      <c r="AV43" s="66"/>
      <c r="AW43" s="75"/>
    </row>
    <row r="44" spans="2:49" s="92" customFormat="1">
      <c r="B44" s="62">
        <v>38</v>
      </c>
      <c r="C44" s="63" t="s">
        <v>732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 t="s">
        <v>836</v>
      </c>
      <c r="O44" s="62">
        <v>70108675</v>
      </c>
      <c r="P44" s="62">
        <v>977518295</v>
      </c>
      <c r="Q44" s="76" t="s">
        <v>883</v>
      </c>
      <c r="R44" s="62" t="s">
        <v>675</v>
      </c>
      <c r="S44" s="62" t="s">
        <v>675</v>
      </c>
      <c r="T44" s="73">
        <v>9</v>
      </c>
      <c r="U44" s="62" t="s">
        <v>675</v>
      </c>
      <c r="V44" s="62" t="s">
        <v>838</v>
      </c>
      <c r="W44" s="62" t="s">
        <v>850</v>
      </c>
      <c r="X44" s="62" t="s">
        <v>840</v>
      </c>
      <c r="Y44" s="81">
        <v>46125</v>
      </c>
      <c r="Z44" s="65" t="s">
        <v>879</v>
      </c>
      <c r="AA44" s="81">
        <v>46105</v>
      </c>
      <c r="AB44" s="65" t="s">
        <v>675</v>
      </c>
      <c r="AC44" s="62" t="s">
        <v>19</v>
      </c>
      <c r="AD44" s="62" t="s">
        <v>675</v>
      </c>
      <c r="AE44" s="62" t="s">
        <v>675</v>
      </c>
      <c r="AF44" s="62" t="s">
        <v>673</v>
      </c>
      <c r="AG44" s="62" t="s">
        <v>841</v>
      </c>
      <c r="AH44" s="62" t="s">
        <v>675</v>
      </c>
      <c r="AI44" s="62" t="s">
        <v>25</v>
      </c>
      <c r="AJ44" s="66"/>
      <c r="AK44" s="74">
        <v>0</v>
      </c>
      <c r="AL44" s="68">
        <v>0</v>
      </c>
      <c r="AM44" s="69">
        <v>0</v>
      </c>
      <c r="AN44" s="74">
        <f t="shared" si="3"/>
        <v>0</v>
      </c>
      <c r="AO44" s="70"/>
      <c r="AP44" s="74">
        <v>0</v>
      </c>
      <c r="AQ44" s="68">
        <f t="shared" si="0"/>
        <v>0</v>
      </c>
      <c r="AR44" s="68">
        <f t="shared" si="1"/>
        <v>0</v>
      </c>
      <c r="AS44" s="68">
        <v>0</v>
      </c>
      <c r="AT44" s="68">
        <v>0</v>
      </c>
      <c r="AU44" s="68">
        <f t="shared" si="2"/>
        <v>0</v>
      </c>
      <c r="AV44" s="61"/>
      <c r="AW44" s="71"/>
    </row>
    <row r="45" spans="2:49" s="92" customFormat="1">
      <c r="B45" s="62">
        <v>39</v>
      </c>
      <c r="C45" s="63" t="s">
        <v>733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 t="s">
        <v>836</v>
      </c>
      <c r="O45" s="62">
        <v>46075693</v>
      </c>
      <c r="P45" s="62">
        <v>958691349</v>
      </c>
      <c r="Q45" s="76" t="s">
        <v>884</v>
      </c>
      <c r="R45" s="62" t="s">
        <v>675</v>
      </c>
      <c r="S45" s="62" t="s">
        <v>675</v>
      </c>
      <c r="T45" s="73">
        <v>5</v>
      </c>
      <c r="U45" s="62" t="s">
        <v>675</v>
      </c>
      <c r="V45" s="62" t="s">
        <v>838</v>
      </c>
      <c r="W45" s="62" t="s">
        <v>850</v>
      </c>
      <c r="X45" s="62" t="s">
        <v>840</v>
      </c>
      <c r="Y45" s="81">
        <v>46125</v>
      </c>
      <c r="Z45" s="65" t="s">
        <v>879</v>
      </c>
      <c r="AA45" s="81">
        <v>46105</v>
      </c>
      <c r="AB45" s="65" t="s">
        <v>675</v>
      </c>
      <c r="AC45" s="62" t="s">
        <v>19</v>
      </c>
      <c r="AD45" s="62" t="s">
        <v>675</v>
      </c>
      <c r="AE45" s="62" t="s">
        <v>675</v>
      </c>
      <c r="AF45" s="62" t="s">
        <v>728</v>
      </c>
      <c r="AG45" s="62" t="s">
        <v>841</v>
      </c>
      <c r="AH45" s="62" t="s">
        <v>675</v>
      </c>
      <c r="AI45" s="62" t="s">
        <v>20</v>
      </c>
      <c r="AJ45" s="66"/>
      <c r="AK45" s="74">
        <v>0</v>
      </c>
      <c r="AL45" s="68">
        <v>0</v>
      </c>
      <c r="AM45" s="69">
        <v>0</v>
      </c>
      <c r="AN45" s="74">
        <f t="shared" si="3"/>
        <v>0</v>
      </c>
      <c r="AO45" s="70"/>
      <c r="AP45" s="74">
        <v>0</v>
      </c>
      <c r="AQ45" s="68">
        <f t="shared" si="0"/>
        <v>0</v>
      </c>
      <c r="AR45" s="68">
        <f t="shared" si="1"/>
        <v>0</v>
      </c>
      <c r="AS45" s="68">
        <v>0</v>
      </c>
      <c r="AT45" s="68">
        <v>0</v>
      </c>
      <c r="AU45" s="68">
        <f t="shared" si="2"/>
        <v>0</v>
      </c>
      <c r="AV45" s="66"/>
      <c r="AW45" s="75"/>
    </row>
    <row r="46" spans="2:49" s="92" customFormat="1">
      <c r="B46" s="62">
        <v>40</v>
      </c>
      <c r="C46" s="63" t="s">
        <v>734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 t="s">
        <v>836</v>
      </c>
      <c r="O46" s="62">
        <v>21435528</v>
      </c>
      <c r="P46" s="62">
        <v>989365672</v>
      </c>
      <c r="Q46" s="76" t="s">
        <v>885</v>
      </c>
      <c r="R46" s="62" t="s">
        <v>675</v>
      </c>
      <c r="S46" s="62" t="s">
        <v>675</v>
      </c>
      <c r="T46" s="73">
        <v>8</v>
      </c>
      <c r="U46" s="62" t="s">
        <v>675</v>
      </c>
      <c r="V46" s="62" t="s">
        <v>838</v>
      </c>
      <c r="W46" s="62" t="s">
        <v>850</v>
      </c>
      <c r="X46" s="62" t="s">
        <v>840</v>
      </c>
      <c r="Y46" s="81">
        <v>46125</v>
      </c>
      <c r="Z46" s="65" t="s">
        <v>879</v>
      </c>
      <c r="AA46" s="81">
        <v>46105</v>
      </c>
      <c r="AB46" s="65" t="s">
        <v>675</v>
      </c>
      <c r="AC46" s="62" t="s">
        <v>19</v>
      </c>
      <c r="AD46" s="62" t="s">
        <v>675</v>
      </c>
      <c r="AE46" s="62" t="s">
        <v>675</v>
      </c>
      <c r="AF46" s="62" t="s">
        <v>728</v>
      </c>
      <c r="AG46" s="62" t="s">
        <v>841</v>
      </c>
      <c r="AH46" s="62" t="s">
        <v>675</v>
      </c>
      <c r="AI46" s="62" t="s">
        <v>20</v>
      </c>
      <c r="AJ46" s="66"/>
      <c r="AK46" s="74">
        <v>0</v>
      </c>
      <c r="AL46" s="68">
        <v>0</v>
      </c>
      <c r="AM46" s="69">
        <v>0</v>
      </c>
      <c r="AN46" s="74">
        <f t="shared" si="3"/>
        <v>0</v>
      </c>
      <c r="AO46" s="70"/>
      <c r="AP46" s="74">
        <v>0</v>
      </c>
      <c r="AQ46" s="68">
        <f t="shared" si="0"/>
        <v>0</v>
      </c>
      <c r="AR46" s="68">
        <f t="shared" si="1"/>
        <v>0</v>
      </c>
      <c r="AS46" s="68">
        <v>0</v>
      </c>
      <c r="AT46" s="68">
        <v>0</v>
      </c>
      <c r="AU46" s="68">
        <f t="shared" si="2"/>
        <v>0</v>
      </c>
      <c r="AV46" s="61"/>
      <c r="AW46" s="71"/>
    </row>
    <row r="47" spans="2:49" s="92" customFormat="1">
      <c r="B47" s="62">
        <v>41</v>
      </c>
      <c r="C47" s="63" t="s">
        <v>735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 t="s">
        <v>836</v>
      </c>
      <c r="O47" s="62">
        <v>70786643</v>
      </c>
      <c r="P47" s="62">
        <v>924849452</v>
      </c>
      <c r="Q47" s="76" t="s">
        <v>886</v>
      </c>
      <c r="R47" s="62" t="s">
        <v>675</v>
      </c>
      <c r="S47" s="62" t="s">
        <v>675</v>
      </c>
      <c r="T47" s="73">
        <v>12</v>
      </c>
      <c r="U47" s="62" t="s">
        <v>675</v>
      </c>
      <c r="V47" s="62" t="s">
        <v>838</v>
      </c>
      <c r="W47" s="62" t="s">
        <v>850</v>
      </c>
      <c r="X47" s="62" t="s">
        <v>840</v>
      </c>
      <c r="Y47" s="81">
        <v>46125</v>
      </c>
      <c r="Z47" s="65" t="s">
        <v>879</v>
      </c>
      <c r="AA47" s="81">
        <v>46105</v>
      </c>
      <c r="AB47" s="65" t="s">
        <v>675</v>
      </c>
      <c r="AC47" s="62" t="s">
        <v>40</v>
      </c>
      <c r="AD47" s="62" t="s">
        <v>675</v>
      </c>
      <c r="AE47" s="62" t="s">
        <v>675</v>
      </c>
      <c r="AF47" s="62" t="s">
        <v>728</v>
      </c>
      <c r="AG47" s="62" t="s">
        <v>841</v>
      </c>
      <c r="AH47" s="62" t="s">
        <v>675</v>
      </c>
      <c r="AI47" s="62" t="s">
        <v>20</v>
      </c>
      <c r="AJ47" s="66"/>
      <c r="AK47" s="74">
        <v>0</v>
      </c>
      <c r="AL47" s="68">
        <v>0</v>
      </c>
      <c r="AM47" s="69">
        <v>0</v>
      </c>
      <c r="AN47" s="74">
        <f t="shared" si="3"/>
        <v>0</v>
      </c>
      <c r="AO47" s="70"/>
      <c r="AP47" s="74">
        <v>0</v>
      </c>
      <c r="AQ47" s="68">
        <f t="shared" si="0"/>
        <v>0</v>
      </c>
      <c r="AR47" s="68">
        <f t="shared" si="1"/>
        <v>0</v>
      </c>
      <c r="AS47" s="68">
        <v>0</v>
      </c>
      <c r="AT47" s="68">
        <v>0</v>
      </c>
      <c r="AU47" s="68">
        <f t="shared" si="2"/>
        <v>0</v>
      </c>
      <c r="AV47" s="66"/>
      <c r="AW47" s="75"/>
    </row>
    <row r="48" spans="2:49" s="92" customFormat="1">
      <c r="B48" s="62">
        <v>42</v>
      </c>
      <c r="C48" s="63" t="s">
        <v>736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 t="s">
        <v>836</v>
      </c>
      <c r="O48" s="62">
        <v>46590523</v>
      </c>
      <c r="P48" s="62">
        <v>982315013</v>
      </c>
      <c r="Q48" s="76" t="s">
        <v>887</v>
      </c>
      <c r="R48" s="62" t="s">
        <v>675</v>
      </c>
      <c r="S48" s="62" t="s">
        <v>675</v>
      </c>
      <c r="T48" s="73">
        <v>5</v>
      </c>
      <c r="U48" s="62" t="s">
        <v>675</v>
      </c>
      <c r="V48" s="62" t="s">
        <v>838</v>
      </c>
      <c r="W48" s="62" t="s">
        <v>850</v>
      </c>
      <c r="X48" s="62" t="s">
        <v>840</v>
      </c>
      <c r="Y48" s="81">
        <v>46125</v>
      </c>
      <c r="Z48" s="65" t="s">
        <v>879</v>
      </c>
      <c r="AA48" s="81">
        <v>46105</v>
      </c>
      <c r="AB48" s="65" t="s">
        <v>675</v>
      </c>
      <c r="AC48" s="62" t="s">
        <v>19</v>
      </c>
      <c r="AD48" s="62" t="s">
        <v>675</v>
      </c>
      <c r="AE48" s="62" t="s">
        <v>675</v>
      </c>
      <c r="AF48" s="62" t="s">
        <v>728</v>
      </c>
      <c r="AG48" s="62" t="s">
        <v>841</v>
      </c>
      <c r="AH48" s="62" t="s">
        <v>675</v>
      </c>
      <c r="AI48" s="62" t="s">
        <v>20</v>
      </c>
      <c r="AJ48" s="66"/>
      <c r="AK48" s="74">
        <v>0</v>
      </c>
      <c r="AL48" s="68">
        <v>0</v>
      </c>
      <c r="AM48" s="69">
        <v>0</v>
      </c>
      <c r="AN48" s="74">
        <f t="shared" si="3"/>
        <v>0</v>
      </c>
      <c r="AO48" s="70"/>
      <c r="AP48" s="74">
        <v>0</v>
      </c>
      <c r="AQ48" s="68">
        <f t="shared" si="0"/>
        <v>0</v>
      </c>
      <c r="AR48" s="68">
        <f t="shared" si="1"/>
        <v>0</v>
      </c>
      <c r="AS48" s="68">
        <v>0</v>
      </c>
      <c r="AT48" s="68">
        <v>0</v>
      </c>
      <c r="AU48" s="68">
        <f t="shared" si="2"/>
        <v>0</v>
      </c>
      <c r="AV48" s="61"/>
      <c r="AW48" s="71"/>
    </row>
    <row r="49" spans="2:49" s="92" customFormat="1">
      <c r="B49" s="62">
        <v>43</v>
      </c>
      <c r="C49" s="63" t="s">
        <v>737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 t="s">
        <v>836</v>
      </c>
      <c r="O49" s="62">
        <v>46825060</v>
      </c>
      <c r="P49" s="62">
        <v>946042178</v>
      </c>
      <c r="Q49" s="76" t="s">
        <v>888</v>
      </c>
      <c r="R49" s="62" t="s">
        <v>675</v>
      </c>
      <c r="S49" s="62" t="s">
        <v>675</v>
      </c>
      <c r="T49" s="73">
        <v>5</v>
      </c>
      <c r="U49" s="62" t="s">
        <v>675</v>
      </c>
      <c r="V49" s="62" t="s">
        <v>838</v>
      </c>
      <c r="W49" s="62" t="s">
        <v>850</v>
      </c>
      <c r="X49" s="62" t="s">
        <v>840</v>
      </c>
      <c r="Y49" s="81">
        <v>46125</v>
      </c>
      <c r="Z49" s="65" t="s">
        <v>879</v>
      </c>
      <c r="AA49" s="81">
        <v>46105</v>
      </c>
      <c r="AB49" s="65" t="s">
        <v>675</v>
      </c>
      <c r="AC49" s="62" t="s">
        <v>40</v>
      </c>
      <c r="AD49" s="62" t="s">
        <v>675</v>
      </c>
      <c r="AE49" s="62" t="s">
        <v>675</v>
      </c>
      <c r="AF49" s="62" t="s">
        <v>728</v>
      </c>
      <c r="AG49" s="62" t="s">
        <v>841</v>
      </c>
      <c r="AH49" s="62" t="s">
        <v>675</v>
      </c>
      <c r="AI49" s="62" t="s">
        <v>20</v>
      </c>
      <c r="AJ49" s="66"/>
      <c r="AK49" s="74">
        <v>0</v>
      </c>
      <c r="AL49" s="68">
        <v>0</v>
      </c>
      <c r="AM49" s="69">
        <v>0</v>
      </c>
      <c r="AN49" s="74">
        <f t="shared" si="3"/>
        <v>0</v>
      </c>
      <c r="AO49" s="70"/>
      <c r="AP49" s="74">
        <v>0</v>
      </c>
      <c r="AQ49" s="68">
        <f t="shared" si="0"/>
        <v>0</v>
      </c>
      <c r="AR49" s="68">
        <f t="shared" si="1"/>
        <v>0</v>
      </c>
      <c r="AS49" s="68">
        <v>0</v>
      </c>
      <c r="AT49" s="68">
        <v>0</v>
      </c>
      <c r="AU49" s="68">
        <f t="shared" si="2"/>
        <v>0</v>
      </c>
      <c r="AV49" s="66"/>
      <c r="AW49" s="75"/>
    </row>
    <row r="50" spans="2:49" s="92" customFormat="1">
      <c r="B50" s="62">
        <v>44</v>
      </c>
      <c r="C50" s="63" t="s">
        <v>738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 t="s">
        <v>836</v>
      </c>
      <c r="O50" s="62">
        <v>72681156</v>
      </c>
      <c r="P50" s="62">
        <v>953362861</v>
      </c>
      <c r="Q50" s="76" t="s">
        <v>889</v>
      </c>
      <c r="R50" s="62" t="s">
        <v>675</v>
      </c>
      <c r="S50" s="62" t="s">
        <v>675</v>
      </c>
      <c r="T50" s="73">
        <v>5</v>
      </c>
      <c r="U50" s="62" t="s">
        <v>675</v>
      </c>
      <c r="V50" s="62" t="s">
        <v>838</v>
      </c>
      <c r="W50" s="62" t="s">
        <v>850</v>
      </c>
      <c r="X50" s="62" t="s">
        <v>840</v>
      </c>
      <c r="Y50" s="81">
        <v>46125</v>
      </c>
      <c r="Z50" s="65" t="s">
        <v>879</v>
      </c>
      <c r="AA50" s="81">
        <v>46105</v>
      </c>
      <c r="AB50" s="65" t="s">
        <v>675</v>
      </c>
      <c r="AC50" s="62" t="s">
        <v>40</v>
      </c>
      <c r="AD50" s="62" t="s">
        <v>675</v>
      </c>
      <c r="AE50" s="62" t="s">
        <v>675</v>
      </c>
      <c r="AF50" s="62" t="s">
        <v>739</v>
      </c>
      <c r="AG50" s="62" t="s">
        <v>841</v>
      </c>
      <c r="AH50" s="62" t="s">
        <v>675</v>
      </c>
      <c r="AI50" s="62" t="s">
        <v>20</v>
      </c>
      <c r="AJ50" s="66"/>
      <c r="AK50" s="74">
        <v>0</v>
      </c>
      <c r="AL50" s="68">
        <v>0</v>
      </c>
      <c r="AM50" s="69">
        <v>0</v>
      </c>
      <c r="AN50" s="74">
        <f t="shared" si="3"/>
        <v>0</v>
      </c>
      <c r="AO50" s="70"/>
      <c r="AP50" s="74">
        <v>0</v>
      </c>
      <c r="AQ50" s="68">
        <f t="shared" si="0"/>
        <v>0</v>
      </c>
      <c r="AR50" s="68">
        <f t="shared" si="1"/>
        <v>0</v>
      </c>
      <c r="AS50" s="68">
        <v>0</v>
      </c>
      <c r="AT50" s="68">
        <v>0</v>
      </c>
      <c r="AU50" s="68">
        <f t="shared" si="2"/>
        <v>0</v>
      </c>
      <c r="AV50" s="61"/>
      <c r="AW50" s="71"/>
    </row>
    <row r="51" spans="2:49" s="92" customFormat="1">
      <c r="B51" s="62">
        <v>45</v>
      </c>
      <c r="C51" s="63" t="s">
        <v>741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 t="s">
        <v>836</v>
      </c>
      <c r="O51" s="96" t="s">
        <v>740</v>
      </c>
      <c r="P51" s="62">
        <v>933531483</v>
      </c>
      <c r="Q51" s="76" t="s">
        <v>890</v>
      </c>
      <c r="R51" s="62" t="s">
        <v>675</v>
      </c>
      <c r="S51" s="62" t="s">
        <v>675</v>
      </c>
      <c r="T51" s="73">
        <v>3</v>
      </c>
      <c r="U51" s="62" t="s">
        <v>675</v>
      </c>
      <c r="V51" s="62" t="s">
        <v>838</v>
      </c>
      <c r="W51" s="62" t="s">
        <v>850</v>
      </c>
      <c r="X51" s="62" t="s">
        <v>840</v>
      </c>
      <c r="Y51" s="81">
        <v>46125</v>
      </c>
      <c r="Z51" s="65" t="s">
        <v>879</v>
      </c>
      <c r="AA51" s="81">
        <v>46105</v>
      </c>
      <c r="AB51" s="65" t="s">
        <v>675</v>
      </c>
      <c r="AC51" s="62" t="s">
        <v>40</v>
      </c>
      <c r="AD51" s="62" t="s">
        <v>675</v>
      </c>
      <c r="AE51" s="62" t="s">
        <v>675</v>
      </c>
      <c r="AF51" s="62" t="s">
        <v>739</v>
      </c>
      <c r="AG51" s="62" t="s">
        <v>841</v>
      </c>
      <c r="AH51" s="62" t="s">
        <v>675</v>
      </c>
      <c r="AI51" s="62" t="s">
        <v>20</v>
      </c>
      <c r="AJ51" s="66"/>
      <c r="AK51" s="74">
        <v>0</v>
      </c>
      <c r="AL51" s="68">
        <v>0</v>
      </c>
      <c r="AM51" s="69">
        <v>0</v>
      </c>
      <c r="AN51" s="74">
        <f t="shared" si="3"/>
        <v>0</v>
      </c>
      <c r="AO51" s="70"/>
      <c r="AP51" s="74">
        <v>0</v>
      </c>
      <c r="AQ51" s="68">
        <f t="shared" si="0"/>
        <v>0</v>
      </c>
      <c r="AR51" s="68">
        <f t="shared" si="1"/>
        <v>0</v>
      </c>
      <c r="AS51" s="68">
        <v>0</v>
      </c>
      <c r="AT51" s="68">
        <v>0</v>
      </c>
      <c r="AU51" s="68">
        <f t="shared" si="2"/>
        <v>0</v>
      </c>
      <c r="AV51" s="66"/>
      <c r="AW51" s="75"/>
    </row>
    <row r="52" spans="2:49" s="92" customFormat="1">
      <c r="B52" s="62">
        <v>46</v>
      </c>
      <c r="C52" s="63" t="s">
        <v>742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 t="s">
        <v>836</v>
      </c>
      <c r="O52" s="62">
        <v>45156306</v>
      </c>
      <c r="P52" s="62">
        <v>969551419</v>
      </c>
      <c r="Q52" s="76" t="s">
        <v>891</v>
      </c>
      <c r="R52" s="62" t="s">
        <v>675</v>
      </c>
      <c r="S52" s="62" t="s">
        <v>675</v>
      </c>
      <c r="T52" s="105">
        <v>17</v>
      </c>
      <c r="U52" s="62" t="s">
        <v>675</v>
      </c>
      <c r="V52" s="62" t="s">
        <v>838</v>
      </c>
      <c r="W52" s="62" t="s">
        <v>850</v>
      </c>
      <c r="X52" s="62" t="s">
        <v>840</v>
      </c>
      <c r="Y52" s="81">
        <v>46125</v>
      </c>
      <c r="Z52" s="65" t="s">
        <v>879</v>
      </c>
      <c r="AA52" s="81">
        <v>46105</v>
      </c>
      <c r="AB52" s="65" t="s">
        <v>675</v>
      </c>
      <c r="AC52" s="62" t="s">
        <v>19</v>
      </c>
      <c r="AD52" s="62" t="s">
        <v>675</v>
      </c>
      <c r="AE52" s="62" t="s">
        <v>675</v>
      </c>
      <c r="AF52" s="62" t="s">
        <v>683</v>
      </c>
      <c r="AG52" s="62" t="s">
        <v>841</v>
      </c>
      <c r="AH52" s="62" t="s">
        <v>675</v>
      </c>
      <c r="AI52" s="62" t="s">
        <v>20</v>
      </c>
      <c r="AJ52" s="66"/>
      <c r="AK52" s="74">
        <v>0</v>
      </c>
      <c r="AL52" s="68">
        <v>0</v>
      </c>
      <c r="AM52" s="69">
        <v>0</v>
      </c>
      <c r="AN52" s="74">
        <f t="shared" si="3"/>
        <v>0</v>
      </c>
      <c r="AO52" s="70"/>
      <c r="AP52" s="74">
        <v>0</v>
      </c>
      <c r="AQ52" s="68">
        <f t="shared" si="0"/>
        <v>0</v>
      </c>
      <c r="AR52" s="68">
        <f t="shared" si="1"/>
        <v>0</v>
      </c>
      <c r="AS52" s="68">
        <v>0</v>
      </c>
      <c r="AT52" s="68">
        <v>0</v>
      </c>
      <c r="AU52" s="68">
        <f t="shared" si="2"/>
        <v>0</v>
      </c>
      <c r="AV52" s="61"/>
      <c r="AW52" s="71"/>
    </row>
    <row r="53" spans="2:49" s="92" customFormat="1">
      <c r="B53" s="62">
        <v>47</v>
      </c>
      <c r="C53" s="63" t="s">
        <v>743</v>
      </c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 t="s">
        <v>836</v>
      </c>
      <c r="O53" s="62">
        <v>41519363</v>
      </c>
      <c r="P53" s="62">
        <v>987202320</v>
      </c>
      <c r="Q53" s="76" t="s">
        <v>892</v>
      </c>
      <c r="R53" s="62" t="s">
        <v>675</v>
      </c>
      <c r="S53" s="62" t="s">
        <v>675</v>
      </c>
      <c r="T53" s="73">
        <v>4</v>
      </c>
      <c r="U53" s="62" t="s">
        <v>675</v>
      </c>
      <c r="V53" s="62" t="s">
        <v>838</v>
      </c>
      <c r="W53" s="62" t="s">
        <v>850</v>
      </c>
      <c r="X53" s="62" t="s">
        <v>840</v>
      </c>
      <c r="Y53" s="81">
        <v>46125</v>
      </c>
      <c r="Z53" s="65" t="s">
        <v>879</v>
      </c>
      <c r="AA53" s="81">
        <v>46105</v>
      </c>
      <c r="AB53" s="65" t="s">
        <v>675</v>
      </c>
      <c r="AC53" s="62" t="s">
        <v>40</v>
      </c>
      <c r="AD53" s="62" t="s">
        <v>675</v>
      </c>
      <c r="AE53" s="62" t="s">
        <v>675</v>
      </c>
      <c r="AF53" s="62" t="s">
        <v>679</v>
      </c>
      <c r="AG53" s="62" t="s">
        <v>856</v>
      </c>
      <c r="AH53" s="62" t="s">
        <v>675</v>
      </c>
      <c r="AI53" s="62" t="s">
        <v>20</v>
      </c>
      <c r="AJ53" s="66"/>
      <c r="AK53" s="74">
        <v>0</v>
      </c>
      <c r="AL53" s="68">
        <v>0</v>
      </c>
      <c r="AM53" s="69">
        <v>0</v>
      </c>
      <c r="AN53" s="74">
        <f t="shared" si="3"/>
        <v>0</v>
      </c>
      <c r="AO53" s="70"/>
      <c r="AP53" s="74">
        <v>0</v>
      </c>
      <c r="AQ53" s="68">
        <f t="shared" si="0"/>
        <v>0</v>
      </c>
      <c r="AR53" s="68">
        <f t="shared" si="1"/>
        <v>0</v>
      </c>
      <c r="AS53" s="68">
        <v>0</v>
      </c>
      <c r="AT53" s="68">
        <v>0</v>
      </c>
      <c r="AU53" s="68">
        <f t="shared" si="2"/>
        <v>0</v>
      </c>
      <c r="AV53" s="66"/>
      <c r="AW53" s="75"/>
    </row>
    <row r="54" spans="2:49" s="92" customFormat="1">
      <c r="B54" s="62">
        <v>48</v>
      </c>
      <c r="C54" s="63" t="s">
        <v>744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 t="s">
        <v>836</v>
      </c>
      <c r="O54" s="62">
        <v>46730566</v>
      </c>
      <c r="P54" s="62">
        <v>983582045</v>
      </c>
      <c r="Q54" s="76" t="s">
        <v>893</v>
      </c>
      <c r="R54" s="62" t="s">
        <v>675</v>
      </c>
      <c r="S54" s="62" t="s">
        <v>675</v>
      </c>
      <c r="T54" s="73">
        <v>15</v>
      </c>
      <c r="U54" s="62" t="s">
        <v>675</v>
      </c>
      <c r="V54" s="62" t="s">
        <v>838</v>
      </c>
      <c r="W54" s="62" t="s">
        <v>850</v>
      </c>
      <c r="X54" s="62" t="s">
        <v>840</v>
      </c>
      <c r="Y54" s="81">
        <v>46125</v>
      </c>
      <c r="Z54" s="65" t="s">
        <v>879</v>
      </c>
      <c r="AA54" s="81">
        <v>46105</v>
      </c>
      <c r="AB54" s="65" t="s">
        <v>675</v>
      </c>
      <c r="AC54" s="62" t="s">
        <v>19</v>
      </c>
      <c r="AD54" s="62" t="s">
        <v>675</v>
      </c>
      <c r="AE54" s="62" t="s">
        <v>675</v>
      </c>
      <c r="AF54" s="62" t="s">
        <v>673</v>
      </c>
      <c r="AG54" s="62" t="s">
        <v>841</v>
      </c>
      <c r="AH54" s="62" t="s">
        <v>675</v>
      </c>
      <c r="AI54" s="62" t="s">
        <v>20</v>
      </c>
      <c r="AJ54" s="66"/>
      <c r="AK54" s="74">
        <v>0</v>
      </c>
      <c r="AL54" s="68">
        <v>0</v>
      </c>
      <c r="AM54" s="69">
        <v>0</v>
      </c>
      <c r="AN54" s="74">
        <f t="shared" si="3"/>
        <v>0</v>
      </c>
      <c r="AO54" s="70"/>
      <c r="AP54" s="74">
        <v>0</v>
      </c>
      <c r="AQ54" s="68">
        <f t="shared" si="0"/>
        <v>0</v>
      </c>
      <c r="AR54" s="68">
        <f t="shared" si="1"/>
        <v>0</v>
      </c>
      <c r="AS54" s="68">
        <v>0</v>
      </c>
      <c r="AT54" s="68">
        <v>0</v>
      </c>
      <c r="AU54" s="68">
        <f t="shared" si="2"/>
        <v>0</v>
      </c>
      <c r="AV54" s="61"/>
      <c r="AW54" s="71"/>
    </row>
    <row r="55" spans="2:49" s="92" customFormat="1">
      <c r="B55" s="62">
        <v>49</v>
      </c>
      <c r="C55" s="63" t="s">
        <v>745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 t="s">
        <v>836</v>
      </c>
      <c r="O55" s="62">
        <v>41536992</v>
      </c>
      <c r="P55" s="62">
        <v>969042565</v>
      </c>
      <c r="Q55" s="76" t="s">
        <v>894</v>
      </c>
      <c r="R55" s="62" t="s">
        <v>675</v>
      </c>
      <c r="S55" s="62" t="s">
        <v>675</v>
      </c>
      <c r="T55" s="73">
        <v>8</v>
      </c>
      <c r="U55" s="62" t="s">
        <v>675</v>
      </c>
      <c r="V55" s="62" t="s">
        <v>838</v>
      </c>
      <c r="W55" s="62" t="s">
        <v>850</v>
      </c>
      <c r="X55" s="62" t="s">
        <v>840</v>
      </c>
      <c r="Y55" s="81">
        <v>46125</v>
      </c>
      <c r="Z55" s="65" t="s">
        <v>879</v>
      </c>
      <c r="AA55" s="81">
        <v>46105</v>
      </c>
      <c r="AB55" s="65" t="s">
        <v>675</v>
      </c>
      <c r="AC55" s="62" t="s">
        <v>40</v>
      </c>
      <c r="AD55" s="62" t="s">
        <v>675</v>
      </c>
      <c r="AE55" s="62" t="s">
        <v>675</v>
      </c>
      <c r="AF55" s="62" t="s">
        <v>679</v>
      </c>
      <c r="AG55" s="62" t="s">
        <v>856</v>
      </c>
      <c r="AH55" s="62" t="s">
        <v>675</v>
      </c>
      <c r="AI55" s="62" t="s">
        <v>20</v>
      </c>
      <c r="AJ55" s="66"/>
      <c r="AK55" s="74">
        <v>0</v>
      </c>
      <c r="AL55" s="68">
        <v>0</v>
      </c>
      <c r="AM55" s="69">
        <v>0</v>
      </c>
      <c r="AN55" s="74">
        <f t="shared" si="3"/>
        <v>0</v>
      </c>
      <c r="AO55" s="70"/>
      <c r="AP55" s="74">
        <v>0</v>
      </c>
      <c r="AQ55" s="68">
        <f t="shared" si="0"/>
        <v>0</v>
      </c>
      <c r="AR55" s="68">
        <f t="shared" si="1"/>
        <v>0</v>
      </c>
      <c r="AS55" s="68">
        <v>0</v>
      </c>
      <c r="AT55" s="68">
        <v>0</v>
      </c>
      <c r="AU55" s="68">
        <f t="shared" si="2"/>
        <v>0</v>
      </c>
      <c r="AV55" s="66"/>
      <c r="AW55" s="75"/>
    </row>
    <row r="56" spans="2:49" s="92" customFormat="1">
      <c r="B56" s="62">
        <v>50</v>
      </c>
      <c r="C56" s="63" t="s">
        <v>746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 t="s">
        <v>836</v>
      </c>
      <c r="O56" s="62">
        <v>40105460</v>
      </c>
      <c r="P56" s="62">
        <v>950058593</v>
      </c>
      <c r="Q56" s="76" t="s">
        <v>895</v>
      </c>
      <c r="R56" s="62" t="s">
        <v>675</v>
      </c>
      <c r="S56" s="62" t="s">
        <v>675</v>
      </c>
      <c r="T56" s="73">
        <v>10</v>
      </c>
      <c r="U56" s="62" t="s">
        <v>675</v>
      </c>
      <c r="V56" s="62" t="s">
        <v>838</v>
      </c>
      <c r="W56" s="62" t="s">
        <v>850</v>
      </c>
      <c r="X56" s="62" t="s">
        <v>840</v>
      </c>
      <c r="Y56" s="81">
        <v>46125</v>
      </c>
      <c r="Z56" s="65" t="s">
        <v>879</v>
      </c>
      <c r="AA56" s="81">
        <v>46105</v>
      </c>
      <c r="AB56" s="65" t="s">
        <v>675</v>
      </c>
      <c r="AC56" s="62" t="s">
        <v>19</v>
      </c>
      <c r="AD56" s="62" t="s">
        <v>675</v>
      </c>
      <c r="AE56" s="62" t="s">
        <v>675</v>
      </c>
      <c r="AF56" s="62" t="s">
        <v>673</v>
      </c>
      <c r="AG56" s="62" t="s">
        <v>841</v>
      </c>
      <c r="AH56" s="62" t="s">
        <v>675</v>
      </c>
      <c r="AI56" s="62" t="s">
        <v>20</v>
      </c>
      <c r="AJ56" s="66"/>
      <c r="AK56" s="74">
        <v>0</v>
      </c>
      <c r="AL56" s="68">
        <v>0</v>
      </c>
      <c r="AM56" s="69">
        <v>0</v>
      </c>
      <c r="AN56" s="74">
        <f t="shared" si="3"/>
        <v>0</v>
      </c>
      <c r="AO56" s="70"/>
      <c r="AP56" s="74">
        <v>0</v>
      </c>
      <c r="AQ56" s="68">
        <f t="shared" si="0"/>
        <v>0</v>
      </c>
      <c r="AR56" s="68">
        <f t="shared" si="1"/>
        <v>0</v>
      </c>
      <c r="AS56" s="68">
        <v>0</v>
      </c>
      <c r="AT56" s="68">
        <v>0</v>
      </c>
      <c r="AU56" s="68">
        <f t="shared" si="2"/>
        <v>0</v>
      </c>
      <c r="AV56" s="61"/>
      <c r="AW56" s="71"/>
    </row>
    <row r="57" spans="2:49" s="92" customFormat="1">
      <c r="B57" s="62">
        <v>51</v>
      </c>
      <c r="C57" s="63" t="s">
        <v>747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 t="s">
        <v>836</v>
      </c>
      <c r="O57" s="62">
        <v>42515290</v>
      </c>
      <c r="P57" s="62">
        <v>976805104</v>
      </c>
      <c r="Q57" s="76" t="s">
        <v>896</v>
      </c>
      <c r="R57" s="62" t="s">
        <v>675</v>
      </c>
      <c r="S57" s="62" t="s">
        <v>675</v>
      </c>
      <c r="T57" s="73">
        <v>32</v>
      </c>
      <c r="U57" s="62" t="s">
        <v>675</v>
      </c>
      <c r="V57" s="62" t="s">
        <v>845</v>
      </c>
      <c r="W57" s="62" t="s">
        <v>850</v>
      </c>
      <c r="X57" s="62" t="s">
        <v>840</v>
      </c>
      <c r="Y57" s="81">
        <v>46125</v>
      </c>
      <c r="Z57" s="65" t="s">
        <v>879</v>
      </c>
      <c r="AA57" s="81">
        <v>46105</v>
      </c>
      <c r="AB57" s="65" t="s">
        <v>675</v>
      </c>
      <c r="AC57" s="62" t="s">
        <v>19</v>
      </c>
      <c r="AD57" s="62" t="s">
        <v>675</v>
      </c>
      <c r="AE57" s="62" t="s">
        <v>675</v>
      </c>
      <c r="AF57" s="62" t="s">
        <v>679</v>
      </c>
      <c r="AG57" s="62" t="s">
        <v>856</v>
      </c>
      <c r="AH57" s="62" t="s">
        <v>675</v>
      </c>
      <c r="AI57" s="62" t="s">
        <v>25</v>
      </c>
      <c r="AJ57" s="66"/>
      <c r="AK57" s="74">
        <v>0</v>
      </c>
      <c r="AL57" s="68">
        <v>0</v>
      </c>
      <c r="AM57" s="69">
        <v>0</v>
      </c>
      <c r="AN57" s="74">
        <f t="shared" si="3"/>
        <v>0</v>
      </c>
      <c r="AO57" s="70"/>
      <c r="AP57" s="74">
        <v>0</v>
      </c>
      <c r="AQ57" s="68">
        <f t="shared" si="0"/>
        <v>0</v>
      </c>
      <c r="AR57" s="68">
        <f t="shared" si="1"/>
        <v>0</v>
      </c>
      <c r="AS57" s="68">
        <v>0</v>
      </c>
      <c r="AT57" s="68">
        <v>0</v>
      </c>
      <c r="AU57" s="68">
        <f t="shared" si="2"/>
        <v>0</v>
      </c>
      <c r="AV57" s="61"/>
      <c r="AW57" s="71"/>
    </row>
    <row r="58" spans="2:49" s="92" customFormat="1">
      <c r="B58" s="62">
        <v>52</v>
      </c>
      <c r="C58" s="63" t="s">
        <v>748</v>
      </c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 t="s">
        <v>836</v>
      </c>
      <c r="O58" s="62">
        <v>45007560</v>
      </c>
      <c r="P58" s="62">
        <v>969015640</v>
      </c>
      <c r="Q58" s="76" t="s">
        <v>897</v>
      </c>
      <c r="R58" s="62" t="s">
        <v>675</v>
      </c>
      <c r="S58" s="62" t="s">
        <v>675</v>
      </c>
      <c r="T58" s="73">
        <v>8</v>
      </c>
      <c r="U58" s="62" t="s">
        <v>675</v>
      </c>
      <c r="V58" s="62" t="s">
        <v>838</v>
      </c>
      <c r="W58" s="62" t="s">
        <v>850</v>
      </c>
      <c r="X58" s="62" t="s">
        <v>840</v>
      </c>
      <c r="Y58" s="81">
        <v>46125</v>
      </c>
      <c r="Z58" s="65" t="s">
        <v>879</v>
      </c>
      <c r="AA58" s="81">
        <v>46105</v>
      </c>
      <c r="AB58" s="65" t="s">
        <v>675</v>
      </c>
      <c r="AC58" s="62" t="s">
        <v>19</v>
      </c>
      <c r="AD58" s="62" t="s">
        <v>675</v>
      </c>
      <c r="AE58" s="62" t="s">
        <v>675</v>
      </c>
      <c r="AF58" s="62" t="s">
        <v>673</v>
      </c>
      <c r="AG58" s="62" t="s">
        <v>841</v>
      </c>
      <c r="AH58" s="62" t="s">
        <v>675</v>
      </c>
      <c r="AI58" s="62" t="s">
        <v>20</v>
      </c>
      <c r="AJ58" s="66"/>
      <c r="AK58" s="74">
        <v>0</v>
      </c>
      <c r="AL58" s="68">
        <v>0</v>
      </c>
      <c r="AM58" s="69">
        <v>0</v>
      </c>
      <c r="AN58" s="74">
        <f t="shared" si="3"/>
        <v>0</v>
      </c>
      <c r="AO58" s="70"/>
      <c r="AP58" s="74">
        <v>0</v>
      </c>
      <c r="AQ58" s="68">
        <f t="shared" si="0"/>
        <v>0</v>
      </c>
      <c r="AR58" s="68">
        <f t="shared" si="1"/>
        <v>0</v>
      </c>
      <c r="AS58" s="68">
        <v>0</v>
      </c>
      <c r="AT58" s="68">
        <v>0</v>
      </c>
      <c r="AU58" s="68">
        <f t="shared" si="2"/>
        <v>0</v>
      </c>
      <c r="AV58" s="66"/>
      <c r="AW58" s="75"/>
    </row>
    <row r="59" spans="2:49" s="92" customFormat="1">
      <c r="B59" s="62">
        <v>53</v>
      </c>
      <c r="C59" s="63" t="s">
        <v>749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 t="s">
        <v>836</v>
      </c>
      <c r="O59" s="62">
        <v>29726614</v>
      </c>
      <c r="P59" s="62">
        <v>971450905</v>
      </c>
      <c r="Q59" s="76" t="s">
        <v>898</v>
      </c>
      <c r="R59" s="62" t="s">
        <v>675</v>
      </c>
      <c r="S59" s="62" t="s">
        <v>675</v>
      </c>
      <c r="T59" s="73">
        <v>15</v>
      </c>
      <c r="U59" s="62" t="s">
        <v>675</v>
      </c>
      <c r="V59" s="62" t="s">
        <v>838</v>
      </c>
      <c r="W59" s="62" t="s">
        <v>850</v>
      </c>
      <c r="X59" s="62" t="s">
        <v>840</v>
      </c>
      <c r="Y59" s="81">
        <v>46125</v>
      </c>
      <c r="Z59" s="65" t="s">
        <v>879</v>
      </c>
      <c r="AA59" s="81">
        <v>46105</v>
      </c>
      <c r="AB59" s="65" t="s">
        <v>675</v>
      </c>
      <c r="AC59" s="62" t="s">
        <v>19</v>
      </c>
      <c r="AD59" s="62" t="s">
        <v>675</v>
      </c>
      <c r="AE59" s="62" t="s">
        <v>675</v>
      </c>
      <c r="AF59" s="62" t="s">
        <v>750</v>
      </c>
      <c r="AG59" s="62" t="s">
        <v>856</v>
      </c>
      <c r="AH59" s="62" t="s">
        <v>675</v>
      </c>
      <c r="AI59" s="62" t="s">
        <v>20</v>
      </c>
      <c r="AJ59" s="66"/>
      <c r="AK59" s="74">
        <v>0</v>
      </c>
      <c r="AL59" s="68">
        <v>0</v>
      </c>
      <c r="AM59" s="69">
        <v>0</v>
      </c>
      <c r="AN59" s="74">
        <f t="shared" si="3"/>
        <v>0</v>
      </c>
      <c r="AO59" s="70"/>
      <c r="AP59" s="74">
        <v>0</v>
      </c>
      <c r="AQ59" s="68">
        <f t="shared" si="0"/>
        <v>0</v>
      </c>
      <c r="AR59" s="68">
        <f t="shared" si="1"/>
        <v>0</v>
      </c>
      <c r="AS59" s="68">
        <v>0</v>
      </c>
      <c r="AT59" s="68">
        <v>0</v>
      </c>
      <c r="AU59" s="68">
        <f t="shared" si="2"/>
        <v>0</v>
      </c>
      <c r="AV59" s="61"/>
      <c r="AW59" s="71"/>
    </row>
    <row r="60" spans="2:49" s="92" customFormat="1">
      <c r="B60" s="62">
        <v>54</v>
      </c>
      <c r="C60" s="63" t="s">
        <v>751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 t="s">
        <v>836</v>
      </c>
      <c r="O60" s="62">
        <v>76129345</v>
      </c>
      <c r="P60" s="62">
        <v>921933801</v>
      </c>
      <c r="Q60" s="76" t="s">
        <v>899</v>
      </c>
      <c r="R60" s="62" t="s">
        <v>675</v>
      </c>
      <c r="S60" s="62" t="s">
        <v>675</v>
      </c>
      <c r="T60" s="73">
        <v>8</v>
      </c>
      <c r="U60" s="62" t="s">
        <v>675</v>
      </c>
      <c r="V60" s="62" t="s">
        <v>838</v>
      </c>
      <c r="W60" s="62" t="s">
        <v>850</v>
      </c>
      <c r="X60" s="62" t="s">
        <v>840</v>
      </c>
      <c r="Y60" s="81">
        <v>46125</v>
      </c>
      <c r="Z60" s="65" t="s">
        <v>879</v>
      </c>
      <c r="AA60" s="81">
        <v>46105</v>
      </c>
      <c r="AB60" s="65" t="s">
        <v>675</v>
      </c>
      <c r="AC60" s="62" t="s">
        <v>19</v>
      </c>
      <c r="AD60" s="62" t="s">
        <v>675</v>
      </c>
      <c r="AE60" s="62" t="s">
        <v>675</v>
      </c>
      <c r="AF60" s="62" t="s">
        <v>752</v>
      </c>
      <c r="AG60" s="62" t="s">
        <v>856</v>
      </c>
      <c r="AH60" s="62" t="s">
        <v>675</v>
      </c>
      <c r="AI60" s="62" t="s">
        <v>20</v>
      </c>
      <c r="AJ60" s="66"/>
      <c r="AK60" s="74">
        <v>0</v>
      </c>
      <c r="AL60" s="68">
        <v>0</v>
      </c>
      <c r="AM60" s="69">
        <v>0</v>
      </c>
      <c r="AN60" s="74">
        <f t="shared" si="3"/>
        <v>0</v>
      </c>
      <c r="AO60" s="70"/>
      <c r="AP60" s="74">
        <v>0</v>
      </c>
      <c r="AQ60" s="68">
        <f t="shared" si="0"/>
        <v>0</v>
      </c>
      <c r="AR60" s="68">
        <f t="shared" si="1"/>
        <v>0</v>
      </c>
      <c r="AS60" s="68">
        <v>0</v>
      </c>
      <c r="AT60" s="68">
        <v>0</v>
      </c>
      <c r="AU60" s="68">
        <f t="shared" si="2"/>
        <v>0</v>
      </c>
      <c r="AV60" s="66"/>
      <c r="AW60" s="75"/>
    </row>
    <row r="61" spans="2:49" s="92" customFormat="1">
      <c r="B61" s="62">
        <v>55</v>
      </c>
      <c r="C61" s="63" t="s">
        <v>753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 t="s">
        <v>836</v>
      </c>
      <c r="O61" s="62">
        <v>72049382</v>
      </c>
      <c r="P61" s="62">
        <v>988602424</v>
      </c>
      <c r="Q61" s="76" t="s">
        <v>900</v>
      </c>
      <c r="R61" s="62" t="s">
        <v>675</v>
      </c>
      <c r="S61" s="62" t="s">
        <v>675</v>
      </c>
      <c r="T61" s="73">
        <v>10</v>
      </c>
      <c r="U61" s="62" t="s">
        <v>675</v>
      </c>
      <c r="V61" s="62" t="s">
        <v>838</v>
      </c>
      <c r="W61" s="62" t="s">
        <v>850</v>
      </c>
      <c r="X61" s="62" t="s">
        <v>840</v>
      </c>
      <c r="Y61" s="81">
        <v>46125</v>
      </c>
      <c r="Z61" s="65" t="s">
        <v>879</v>
      </c>
      <c r="AA61" s="81">
        <v>46105</v>
      </c>
      <c r="AB61" s="65" t="s">
        <v>675</v>
      </c>
      <c r="AC61" s="62" t="s">
        <v>19</v>
      </c>
      <c r="AD61" s="62" t="s">
        <v>675</v>
      </c>
      <c r="AE61" s="62" t="s">
        <v>675</v>
      </c>
      <c r="AF61" s="62" t="s">
        <v>673</v>
      </c>
      <c r="AG61" s="62" t="s">
        <v>841</v>
      </c>
      <c r="AH61" s="62" t="s">
        <v>675</v>
      </c>
      <c r="AI61" s="62" t="s">
        <v>20</v>
      </c>
      <c r="AJ61" s="66"/>
      <c r="AK61" s="74">
        <v>0</v>
      </c>
      <c r="AL61" s="68">
        <v>0</v>
      </c>
      <c r="AM61" s="69">
        <v>0</v>
      </c>
      <c r="AN61" s="74">
        <f t="shared" si="3"/>
        <v>0</v>
      </c>
      <c r="AO61" s="70"/>
      <c r="AP61" s="74">
        <v>0</v>
      </c>
      <c r="AQ61" s="68">
        <f t="shared" si="0"/>
        <v>0</v>
      </c>
      <c r="AR61" s="68">
        <f t="shared" si="1"/>
        <v>0</v>
      </c>
      <c r="AS61" s="68">
        <v>0</v>
      </c>
      <c r="AT61" s="68">
        <v>0</v>
      </c>
      <c r="AU61" s="68">
        <f t="shared" si="2"/>
        <v>0</v>
      </c>
      <c r="AV61" s="61"/>
      <c r="AW61" s="71"/>
    </row>
    <row r="62" spans="2:49" s="92" customFormat="1">
      <c r="B62" s="62">
        <v>56</v>
      </c>
      <c r="C62" s="63" t="s">
        <v>754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 t="s">
        <v>836</v>
      </c>
      <c r="O62" s="62">
        <v>15981186</v>
      </c>
      <c r="P62" s="62">
        <v>992296790</v>
      </c>
      <c r="Q62" s="76" t="s">
        <v>901</v>
      </c>
      <c r="R62" s="62" t="s">
        <v>675</v>
      </c>
      <c r="S62" s="62" t="s">
        <v>675</v>
      </c>
      <c r="T62" s="73">
        <v>5</v>
      </c>
      <c r="U62" s="62" t="s">
        <v>675</v>
      </c>
      <c r="V62" s="62" t="s">
        <v>838</v>
      </c>
      <c r="W62" s="62" t="s">
        <v>850</v>
      </c>
      <c r="X62" s="62" t="s">
        <v>840</v>
      </c>
      <c r="Y62" s="81">
        <v>46125</v>
      </c>
      <c r="Z62" s="65" t="s">
        <v>879</v>
      </c>
      <c r="AA62" s="81">
        <v>46105</v>
      </c>
      <c r="AB62" s="65" t="s">
        <v>675</v>
      </c>
      <c r="AC62" s="62" t="s">
        <v>19</v>
      </c>
      <c r="AD62" s="62" t="s">
        <v>675</v>
      </c>
      <c r="AE62" s="62" t="s">
        <v>675</v>
      </c>
      <c r="AF62" s="62" t="s">
        <v>750</v>
      </c>
      <c r="AG62" s="62" t="s">
        <v>856</v>
      </c>
      <c r="AH62" s="62" t="s">
        <v>675</v>
      </c>
      <c r="AI62" s="62" t="s">
        <v>20</v>
      </c>
      <c r="AJ62" s="66"/>
      <c r="AK62" s="74">
        <v>0</v>
      </c>
      <c r="AL62" s="68">
        <v>0</v>
      </c>
      <c r="AM62" s="69">
        <v>0</v>
      </c>
      <c r="AN62" s="74">
        <f t="shared" si="3"/>
        <v>0</v>
      </c>
      <c r="AO62" s="70"/>
      <c r="AP62" s="74">
        <v>0</v>
      </c>
      <c r="AQ62" s="68">
        <f t="shared" si="0"/>
        <v>0</v>
      </c>
      <c r="AR62" s="68">
        <f t="shared" si="1"/>
        <v>0</v>
      </c>
      <c r="AS62" s="68">
        <v>0</v>
      </c>
      <c r="AT62" s="68">
        <v>0</v>
      </c>
      <c r="AU62" s="68">
        <f t="shared" si="2"/>
        <v>0</v>
      </c>
      <c r="AV62" s="66"/>
      <c r="AW62" s="75"/>
    </row>
    <row r="63" spans="2:49" s="92" customFormat="1">
      <c r="B63" s="62">
        <v>57</v>
      </c>
      <c r="C63" s="63" t="s">
        <v>755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 t="s">
        <v>836</v>
      </c>
      <c r="O63" s="62">
        <v>40583004</v>
      </c>
      <c r="P63" s="62">
        <v>992575130</v>
      </c>
      <c r="Q63" s="76" t="s">
        <v>902</v>
      </c>
      <c r="R63" s="62" t="s">
        <v>675</v>
      </c>
      <c r="S63" s="62" t="s">
        <v>675</v>
      </c>
      <c r="T63" s="73">
        <v>8</v>
      </c>
      <c r="U63" s="62" t="s">
        <v>675</v>
      </c>
      <c r="V63" s="62" t="s">
        <v>838</v>
      </c>
      <c r="W63" s="62" t="s">
        <v>850</v>
      </c>
      <c r="X63" s="62" t="s">
        <v>840</v>
      </c>
      <c r="Y63" s="81">
        <v>46125</v>
      </c>
      <c r="Z63" s="65" t="s">
        <v>879</v>
      </c>
      <c r="AA63" s="81">
        <v>46105</v>
      </c>
      <c r="AB63" s="65" t="s">
        <v>675</v>
      </c>
      <c r="AC63" s="62" t="s">
        <v>19</v>
      </c>
      <c r="AD63" s="62" t="s">
        <v>675</v>
      </c>
      <c r="AE63" s="62" t="s">
        <v>675</v>
      </c>
      <c r="AF63" s="62" t="s">
        <v>686</v>
      </c>
      <c r="AG63" s="62" t="s">
        <v>841</v>
      </c>
      <c r="AH63" s="62" t="s">
        <v>675</v>
      </c>
      <c r="AI63" s="62" t="s">
        <v>20</v>
      </c>
      <c r="AJ63" s="66"/>
      <c r="AK63" s="74">
        <v>0</v>
      </c>
      <c r="AL63" s="68">
        <v>0</v>
      </c>
      <c r="AM63" s="69">
        <v>0</v>
      </c>
      <c r="AN63" s="74">
        <f t="shared" si="3"/>
        <v>0</v>
      </c>
      <c r="AO63" s="70"/>
      <c r="AP63" s="74">
        <v>0</v>
      </c>
      <c r="AQ63" s="68">
        <f t="shared" si="0"/>
        <v>0</v>
      </c>
      <c r="AR63" s="68">
        <f t="shared" si="1"/>
        <v>0</v>
      </c>
      <c r="AS63" s="68">
        <v>0</v>
      </c>
      <c r="AT63" s="68">
        <v>0</v>
      </c>
      <c r="AU63" s="68">
        <f t="shared" si="2"/>
        <v>0</v>
      </c>
      <c r="AV63" s="61"/>
      <c r="AW63" s="71"/>
    </row>
    <row r="64" spans="2:49" s="92" customFormat="1">
      <c r="B64" s="62">
        <v>58</v>
      </c>
      <c r="C64" s="63" t="s">
        <v>756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 t="s">
        <v>836</v>
      </c>
      <c r="O64" s="62">
        <v>10658694</v>
      </c>
      <c r="P64" s="62">
        <v>995551588</v>
      </c>
      <c r="Q64" s="76" t="s">
        <v>903</v>
      </c>
      <c r="R64" s="62" t="s">
        <v>675</v>
      </c>
      <c r="S64" s="62" t="s">
        <v>675</v>
      </c>
      <c r="T64" s="73">
        <v>10</v>
      </c>
      <c r="U64" s="62" t="s">
        <v>675</v>
      </c>
      <c r="V64" s="62" t="s">
        <v>838</v>
      </c>
      <c r="W64" s="62" t="s">
        <v>850</v>
      </c>
      <c r="X64" s="62" t="s">
        <v>840</v>
      </c>
      <c r="Y64" s="81">
        <v>46125</v>
      </c>
      <c r="Z64" s="65" t="s">
        <v>879</v>
      </c>
      <c r="AA64" s="81">
        <v>46105</v>
      </c>
      <c r="AB64" s="65" t="s">
        <v>675</v>
      </c>
      <c r="AC64" s="62" t="s">
        <v>19</v>
      </c>
      <c r="AD64" s="62" t="s">
        <v>675</v>
      </c>
      <c r="AE64" s="62" t="s">
        <v>675</v>
      </c>
      <c r="AF64" s="62" t="s">
        <v>752</v>
      </c>
      <c r="AG64" s="62" t="s">
        <v>856</v>
      </c>
      <c r="AH64" s="62" t="s">
        <v>675</v>
      </c>
      <c r="AI64" s="62" t="s">
        <v>20</v>
      </c>
      <c r="AJ64" s="66"/>
      <c r="AK64" s="74">
        <v>0</v>
      </c>
      <c r="AL64" s="68">
        <v>0</v>
      </c>
      <c r="AM64" s="69">
        <v>0</v>
      </c>
      <c r="AN64" s="74">
        <f t="shared" si="3"/>
        <v>0</v>
      </c>
      <c r="AO64" s="70"/>
      <c r="AP64" s="74">
        <v>0</v>
      </c>
      <c r="AQ64" s="68">
        <f t="shared" si="0"/>
        <v>0</v>
      </c>
      <c r="AR64" s="68">
        <f t="shared" si="1"/>
        <v>0</v>
      </c>
      <c r="AS64" s="68">
        <v>0</v>
      </c>
      <c r="AT64" s="68">
        <v>0</v>
      </c>
      <c r="AU64" s="68">
        <f t="shared" si="2"/>
        <v>0</v>
      </c>
      <c r="AV64" s="66"/>
      <c r="AW64" s="75"/>
    </row>
    <row r="65" spans="2:49" s="92" customFormat="1">
      <c r="B65" s="62">
        <v>59</v>
      </c>
      <c r="C65" s="63" t="s">
        <v>757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 t="s">
        <v>836</v>
      </c>
      <c r="O65" s="62">
        <v>15428250</v>
      </c>
      <c r="P65" s="62">
        <v>953294332</v>
      </c>
      <c r="Q65" s="76" t="s">
        <v>904</v>
      </c>
      <c r="R65" s="62" t="s">
        <v>675</v>
      </c>
      <c r="S65" s="62" t="s">
        <v>675</v>
      </c>
      <c r="T65" s="73">
        <v>10</v>
      </c>
      <c r="U65" s="62" t="s">
        <v>675</v>
      </c>
      <c r="V65" s="62" t="s">
        <v>838</v>
      </c>
      <c r="W65" s="62" t="s">
        <v>850</v>
      </c>
      <c r="X65" s="62" t="s">
        <v>840</v>
      </c>
      <c r="Y65" s="81">
        <v>46125</v>
      </c>
      <c r="Z65" s="65" t="s">
        <v>879</v>
      </c>
      <c r="AA65" s="81">
        <v>46105</v>
      </c>
      <c r="AB65" s="65" t="s">
        <v>675</v>
      </c>
      <c r="AC65" s="62" t="s">
        <v>19</v>
      </c>
      <c r="AD65" s="62" t="s">
        <v>675</v>
      </c>
      <c r="AE65" s="62" t="s">
        <v>675</v>
      </c>
      <c r="AF65" s="62" t="s">
        <v>758</v>
      </c>
      <c r="AG65" s="62" t="s">
        <v>856</v>
      </c>
      <c r="AH65" s="62" t="s">
        <v>675</v>
      </c>
      <c r="AI65" s="62" t="s">
        <v>32</v>
      </c>
      <c r="AJ65" s="66"/>
      <c r="AK65" s="74">
        <v>0</v>
      </c>
      <c r="AL65" s="68">
        <v>0</v>
      </c>
      <c r="AM65" s="69">
        <v>0</v>
      </c>
      <c r="AN65" s="74">
        <f t="shared" si="3"/>
        <v>0</v>
      </c>
      <c r="AO65" s="70"/>
      <c r="AP65" s="74">
        <v>0</v>
      </c>
      <c r="AQ65" s="68">
        <f t="shared" si="0"/>
        <v>0</v>
      </c>
      <c r="AR65" s="68">
        <f t="shared" si="1"/>
        <v>0</v>
      </c>
      <c r="AS65" s="68">
        <v>0</v>
      </c>
      <c r="AT65" s="68">
        <v>0</v>
      </c>
      <c r="AU65" s="68">
        <f t="shared" si="2"/>
        <v>0</v>
      </c>
      <c r="AV65" s="61"/>
      <c r="AW65" s="71"/>
    </row>
    <row r="66" spans="2:49" s="92" customFormat="1">
      <c r="B66" s="62">
        <v>60</v>
      </c>
      <c r="C66" s="63" t="s">
        <v>760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 t="s">
        <v>836</v>
      </c>
      <c r="O66" s="96" t="s">
        <v>759</v>
      </c>
      <c r="P66" s="62">
        <v>991299956</v>
      </c>
      <c r="Q66" s="76" t="s">
        <v>905</v>
      </c>
      <c r="R66" s="62" t="s">
        <v>675</v>
      </c>
      <c r="S66" s="62" t="s">
        <v>675</v>
      </c>
      <c r="T66" s="73">
        <v>10</v>
      </c>
      <c r="U66" s="62" t="s">
        <v>675</v>
      </c>
      <c r="V66" s="62" t="s">
        <v>838</v>
      </c>
      <c r="W66" s="62" t="s">
        <v>850</v>
      </c>
      <c r="X66" s="62" t="s">
        <v>840</v>
      </c>
      <c r="Y66" s="81">
        <v>46125</v>
      </c>
      <c r="Z66" s="65" t="s">
        <v>879</v>
      </c>
      <c r="AA66" s="81">
        <v>46105</v>
      </c>
      <c r="AB66" s="65" t="s">
        <v>675</v>
      </c>
      <c r="AC66" s="62" t="s">
        <v>40</v>
      </c>
      <c r="AD66" s="62" t="s">
        <v>675</v>
      </c>
      <c r="AE66" s="62" t="s">
        <v>675</v>
      </c>
      <c r="AF66" s="62" t="s">
        <v>758</v>
      </c>
      <c r="AG66" s="62" t="s">
        <v>841</v>
      </c>
      <c r="AH66" s="62" t="s">
        <v>675</v>
      </c>
      <c r="AI66" s="62" t="s">
        <v>25</v>
      </c>
      <c r="AJ66" s="66"/>
      <c r="AK66" s="74">
        <v>0</v>
      </c>
      <c r="AL66" s="68">
        <v>0</v>
      </c>
      <c r="AM66" s="69">
        <v>0</v>
      </c>
      <c r="AN66" s="74">
        <f t="shared" si="3"/>
        <v>0</v>
      </c>
      <c r="AO66" s="70"/>
      <c r="AP66" s="74">
        <v>0</v>
      </c>
      <c r="AQ66" s="68">
        <f t="shared" si="0"/>
        <v>0</v>
      </c>
      <c r="AR66" s="68">
        <f t="shared" si="1"/>
        <v>0</v>
      </c>
      <c r="AS66" s="68">
        <v>0</v>
      </c>
      <c r="AT66" s="68">
        <v>0</v>
      </c>
      <c r="AU66" s="68">
        <f t="shared" si="2"/>
        <v>0</v>
      </c>
      <c r="AV66" s="66"/>
      <c r="AW66" s="75"/>
    </row>
    <row r="67" spans="2:49" s="92" customFormat="1">
      <c r="B67" s="62">
        <v>61</v>
      </c>
      <c r="C67" s="63" t="s">
        <v>761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 t="s">
        <v>836</v>
      </c>
      <c r="O67" s="62">
        <v>45303683</v>
      </c>
      <c r="P67" s="62">
        <v>989918045</v>
      </c>
      <c r="Q67" s="76" t="s">
        <v>906</v>
      </c>
      <c r="R67" s="62" t="s">
        <v>675</v>
      </c>
      <c r="S67" s="62" t="s">
        <v>675</v>
      </c>
      <c r="T67" s="73">
        <v>9</v>
      </c>
      <c r="U67" s="62" t="s">
        <v>675</v>
      </c>
      <c r="V67" s="62" t="s">
        <v>838</v>
      </c>
      <c r="W67" s="62" t="s">
        <v>850</v>
      </c>
      <c r="X67" s="62" t="s">
        <v>840</v>
      </c>
      <c r="Y67" s="81">
        <v>46125</v>
      </c>
      <c r="Z67" s="65" t="s">
        <v>879</v>
      </c>
      <c r="AA67" s="81">
        <v>46105</v>
      </c>
      <c r="AB67" s="65" t="s">
        <v>675</v>
      </c>
      <c r="AC67" s="62" t="s">
        <v>40</v>
      </c>
      <c r="AD67" s="62" t="s">
        <v>675</v>
      </c>
      <c r="AE67" s="62" t="s">
        <v>675</v>
      </c>
      <c r="AF67" s="62" t="s">
        <v>752</v>
      </c>
      <c r="AG67" s="62" t="s">
        <v>856</v>
      </c>
      <c r="AH67" s="62" t="s">
        <v>675</v>
      </c>
      <c r="AI67" s="62" t="s">
        <v>20</v>
      </c>
      <c r="AJ67" s="66"/>
      <c r="AK67" s="74">
        <v>0</v>
      </c>
      <c r="AL67" s="68">
        <v>0</v>
      </c>
      <c r="AM67" s="69">
        <v>0</v>
      </c>
      <c r="AN67" s="74">
        <f t="shared" si="3"/>
        <v>0</v>
      </c>
      <c r="AO67" s="70"/>
      <c r="AP67" s="74">
        <v>0</v>
      </c>
      <c r="AQ67" s="68">
        <f t="shared" si="0"/>
        <v>0</v>
      </c>
      <c r="AR67" s="68">
        <f t="shared" si="1"/>
        <v>0</v>
      </c>
      <c r="AS67" s="68">
        <v>0</v>
      </c>
      <c r="AT67" s="68">
        <v>0</v>
      </c>
      <c r="AU67" s="68">
        <f t="shared" si="2"/>
        <v>0</v>
      </c>
      <c r="AV67" s="61"/>
      <c r="AW67" s="71"/>
    </row>
    <row r="68" spans="2:49" s="92" customFormat="1">
      <c r="B68" s="62">
        <v>62</v>
      </c>
      <c r="C68" s="63" t="s">
        <v>762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 t="s">
        <v>836</v>
      </c>
      <c r="O68" s="62">
        <v>70277443</v>
      </c>
      <c r="P68" s="62">
        <v>943858181</v>
      </c>
      <c r="Q68" s="76" t="s">
        <v>907</v>
      </c>
      <c r="R68" s="62" t="s">
        <v>675</v>
      </c>
      <c r="S68" s="62" t="s">
        <v>675</v>
      </c>
      <c r="T68" s="73">
        <v>9</v>
      </c>
      <c r="U68" s="62" t="s">
        <v>675</v>
      </c>
      <c r="V68" s="62" t="s">
        <v>838</v>
      </c>
      <c r="W68" s="62" t="s">
        <v>850</v>
      </c>
      <c r="X68" s="62" t="s">
        <v>840</v>
      </c>
      <c r="Y68" s="81">
        <v>46125</v>
      </c>
      <c r="Z68" s="65" t="s">
        <v>879</v>
      </c>
      <c r="AA68" s="81">
        <v>46105</v>
      </c>
      <c r="AB68" s="65" t="s">
        <v>675</v>
      </c>
      <c r="AC68" s="62" t="s">
        <v>40</v>
      </c>
      <c r="AD68" s="62" t="s">
        <v>675</v>
      </c>
      <c r="AE68" s="62" t="s">
        <v>675</v>
      </c>
      <c r="AF68" s="62" t="s">
        <v>763</v>
      </c>
      <c r="AG68" s="62" t="s">
        <v>841</v>
      </c>
      <c r="AH68" s="62" t="s">
        <v>675</v>
      </c>
      <c r="AI68" s="62" t="s">
        <v>41</v>
      </c>
      <c r="AJ68" s="66"/>
      <c r="AK68" s="74">
        <v>0</v>
      </c>
      <c r="AL68" s="68">
        <v>0</v>
      </c>
      <c r="AM68" s="69">
        <v>0</v>
      </c>
      <c r="AN68" s="74">
        <f t="shared" si="3"/>
        <v>0</v>
      </c>
      <c r="AO68" s="70"/>
      <c r="AP68" s="74">
        <v>0</v>
      </c>
      <c r="AQ68" s="68">
        <f t="shared" si="0"/>
        <v>0</v>
      </c>
      <c r="AR68" s="68">
        <f t="shared" si="1"/>
        <v>0</v>
      </c>
      <c r="AS68" s="68">
        <v>0</v>
      </c>
      <c r="AT68" s="68">
        <v>0</v>
      </c>
      <c r="AU68" s="68">
        <f t="shared" si="2"/>
        <v>0</v>
      </c>
      <c r="AV68" s="66"/>
      <c r="AW68" s="75"/>
    </row>
    <row r="69" spans="2:49" s="92" customFormat="1">
      <c r="B69" s="62">
        <v>63</v>
      </c>
      <c r="C69" s="63" t="s">
        <v>764</v>
      </c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 t="s">
        <v>836</v>
      </c>
      <c r="O69" s="62">
        <v>43958773</v>
      </c>
      <c r="P69" s="62">
        <v>946862930</v>
      </c>
      <c r="Q69" s="76" t="s">
        <v>908</v>
      </c>
      <c r="R69" s="62" t="s">
        <v>675</v>
      </c>
      <c r="S69" s="62" t="s">
        <v>675</v>
      </c>
      <c r="T69" s="73">
        <v>5</v>
      </c>
      <c r="U69" s="62" t="s">
        <v>675</v>
      </c>
      <c r="V69" s="62" t="s">
        <v>838</v>
      </c>
      <c r="W69" s="62" t="s">
        <v>850</v>
      </c>
      <c r="X69" s="62" t="s">
        <v>840</v>
      </c>
      <c r="Y69" s="81">
        <v>46125</v>
      </c>
      <c r="Z69" s="65" t="s">
        <v>879</v>
      </c>
      <c r="AA69" s="81">
        <v>46105</v>
      </c>
      <c r="AB69" s="65" t="s">
        <v>675</v>
      </c>
      <c r="AC69" s="62" t="s">
        <v>40</v>
      </c>
      <c r="AD69" s="62" t="s">
        <v>675</v>
      </c>
      <c r="AE69" s="62" t="s">
        <v>675</v>
      </c>
      <c r="AF69" s="62" t="s">
        <v>710</v>
      </c>
      <c r="AG69" s="62" t="s">
        <v>841</v>
      </c>
      <c r="AH69" s="62" t="s">
        <v>675</v>
      </c>
      <c r="AI69" s="62" t="s">
        <v>32</v>
      </c>
      <c r="AJ69" s="66"/>
      <c r="AK69" s="74">
        <v>0</v>
      </c>
      <c r="AL69" s="68">
        <v>0</v>
      </c>
      <c r="AM69" s="69">
        <v>0</v>
      </c>
      <c r="AN69" s="74">
        <f t="shared" si="3"/>
        <v>0</v>
      </c>
      <c r="AO69" s="70"/>
      <c r="AP69" s="74">
        <v>0</v>
      </c>
      <c r="AQ69" s="68">
        <f t="shared" si="0"/>
        <v>0</v>
      </c>
      <c r="AR69" s="68">
        <f t="shared" si="1"/>
        <v>0</v>
      </c>
      <c r="AS69" s="68">
        <v>0</v>
      </c>
      <c r="AT69" s="68">
        <v>0</v>
      </c>
      <c r="AU69" s="68">
        <f t="shared" si="2"/>
        <v>0</v>
      </c>
      <c r="AV69" s="61"/>
      <c r="AW69" s="71"/>
    </row>
    <row r="70" spans="2:49" s="92" customFormat="1">
      <c r="B70" s="62">
        <v>64</v>
      </c>
      <c r="C70" s="63" t="s">
        <v>766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 t="s">
        <v>836</v>
      </c>
      <c r="O70" s="96" t="s">
        <v>765</v>
      </c>
      <c r="P70" s="62">
        <v>952833970</v>
      </c>
      <c r="Q70" s="76" t="s">
        <v>909</v>
      </c>
      <c r="R70" s="62" t="s">
        <v>675</v>
      </c>
      <c r="S70" s="62" t="s">
        <v>675</v>
      </c>
      <c r="T70" s="73">
        <v>5</v>
      </c>
      <c r="U70" s="62" t="s">
        <v>675</v>
      </c>
      <c r="V70" s="62" t="s">
        <v>838</v>
      </c>
      <c r="W70" s="62" t="s">
        <v>850</v>
      </c>
      <c r="X70" s="62" t="s">
        <v>840</v>
      </c>
      <c r="Y70" s="81">
        <v>46125</v>
      </c>
      <c r="Z70" s="65" t="s">
        <v>879</v>
      </c>
      <c r="AA70" s="81">
        <v>46105</v>
      </c>
      <c r="AB70" s="65" t="s">
        <v>675</v>
      </c>
      <c r="AC70" s="62" t="s">
        <v>40</v>
      </c>
      <c r="AD70" s="62" t="s">
        <v>675</v>
      </c>
      <c r="AE70" s="62" t="s">
        <v>675</v>
      </c>
      <c r="AF70" s="62" t="s">
        <v>710</v>
      </c>
      <c r="AG70" s="62" t="s">
        <v>856</v>
      </c>
      <c r="AH70" s="62" t="s">
        <v>675</v>
      </c>
      <c r="AI70" s="62" t="s">
        <v>32</v>
      </c>
      <c r="AJ70" s="66"/>
      <c r="AK70" s="74">
        <v>0</v>
      </c>
      <c r="AL70" s="68">
        <v>0</v>
      </c>
      <c r="AM70" s="69">
        <v>0</v>
      </c>
      <c r="AN70" s="74">
        <f t="shared" si="3"/>
        <v>0</v>
      </c>
      <c r="AO70" s="70"/>
      <c r="AP70" s="74">
        <v>0</v>
      </c>
      <c r="AQ70" s="68">
        <f t="shared" si="0"/>
        <v>0</v>
      </c>
      <c r="AR70" s="68">
        <f t="shared" si="1"/>
        <v>0</v>
      </c>
      <c r="AS70" s="68">
        <v>0</v>
      </c>
      <c r="AT70" s="68">
        <v>0</v>
      </c>
      <c r="AU70" s="68">
        <f t="shared" si="2"/>
        <v>0</v>
      </c>
      <c r="AV70" s="66"/>
      <c r="AW70" s="75"/>
    </row>
    <row r="71" spans="2:49" s="92" customFormat="1">
      <c r="B71" s="62">
        <v>65</v>
      </c>
      <c r="C71" s="63" t="s">
        <v>767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 t="s">
        <v>836</v>
      </c>
      <c r="O71" s="62">
        <v>43596886</v>
      </c>
      <c r="P71" s="62">
        <v>983730610</v>
      </c>
      <c r="Q71" s="76" t="s">
        <v>910</v>
      </c>
      <c r="R71" s="62" t="s">
        <v>675</v>
      </c>
      <c r="S71" s="62" t="s">
        <v>675</v>
      </c>
      <c r="T71" s="73">
        <v>4</v>
      </c>
      <c r="U71" s="62" t="s">
        <v>675</v>
      </c>
      <c r="V71" s="62" t="s">
        <v>838</v>
      </c>
      <c r="W71" s="62" t="s">
        <v>850</v>
      </c>
      <c r="X71" s="62" t="s">
        <v>840</v>
      </c>
      <c r="Y71" s="81">
        <v>46125</v>
      </c>
      <c r="Z71" s="65" t="s">
        <v>879</v>
      </c>
      <c r="AA71" s="81">
        <v>46105</v>
      </c>
      <c r="AB71" s="65" t="s">
        <v>675</v>
      </c>
      <c r="AC71" s="62" t="s">
        <v>40</v>
      </c>
      <c r="AD71" s="62" t="s">
        <v>675</v>
      </c>
      <c r="AE71" s="62" t="s">
        <v>675</v>
      </c>
      <c r="AF71" s="62" t="s">
        <v>710</v>
      </c>
      <c r="AG71" s="62" t="s">
        <v>841</v>
      </c>
      <c r="AH71" s="62" t="s">
        <v>675</v>
      </c>
      <c r="AI71" s="62" t="s">
        <v>32</v>
      </c>
      <c r="AJ71" s="66"/>
      <c r="AK71" s="74">
        <v>0</v>
      </c>
      <c r="AL71" s="68">
        <v>0</v>
      </c>
      <c r="AM71" s="69">
        <v>0</v>
      </c>
      <c r="AN71" s="74">
        <f t="shared" si="3"/>
        <v>0</v>
      </c>
      <c r="AO71" s="70"/>
      <c r="AP71" s="74">
        <v>0</v>
      </c>
      <c r="AQ71" s="68">
        <f t="shared" ref="AQ71:AQ88" si="4">AP71*T71</f>
        <v>0</v>
      </c>
      <c r="AR71" s="68">
        <f t="shared" ref="AR71:AR88" si="5">AQ71*4</f>
        <v>0</v>
      </c>
      <c r="AS71" s="68">
        <v>0</v>
      </c>
      <c r="AT71" s="68">
        <v>0</v>
      </c>
      <c r="AU71" s="68">
        <f t="shared" ref="AU71:AU88" si="6">AR71+AS71+AT71</f>
        <v>0</v>
      </c>
      <c r="AV71" s="61"/>
      <c r="AW71" s="71"/>
    </row>
    <row r="72" spans="2:49" s="92" customFormat="1">
      <c r="B72" s="62">
        <v>66</v>
      </c>
      <c r="C72" s="63" t="s">
        <v>768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 t="s">
        <v>836</v>
      </c>
      <c r="O72" s="62">
        <v>41060828</v>
      </c>
      <c r="P72" s="62">
        <v>984399500</v>
      </c>
      <c r="Q72" s="76" t="s">
        <v>911</v>
      </c>
      <c r="R72" s="62" t="s">
        <v>675</v>
      </c>
      <c r="S72" s="62" t="s">
        <v>675</v>
      </c>
      <c r="T72" s="73">
        <v>15</v>
      </c>
      <c r="U72" s="62" t="s">
        <v>675</v>
      </c>
      <c r="V72" s="62" t="s">
        <v>838</v>
      </c>
      <c r="W72" s="62" t="s">
        <v>850</v>
      </c>
      <c r="X72" s="62" t="s">
        <v>840</v>
      </c>
      <c r="Y72" s="81">
        <v>46125</v>
      </c>
      <c r="Z72" s="65" t="s">
        <v>879</v>
      </c>
      <c r="AA72" s="81">
        <v>46105</v>
      </c>
      <c r="AB72" s="65" t="s">
        <v>675</v>
      </c>
      <c r="AC72" s="62" t="s">
        <v>19</v>
      </c>
      <c r="AD72" s="62" t="s">
        <v>675</v>
      </c>
      <c r="AE72" s="62" t="s">
        <v>675</v>
      </c>
      <c r="AF72" s="62" t="s">
        <v>710</v>
      </c>
      <c r="AG72" s="62" t="s">
        <v>841</v>
      </c>
      <c r="AH72" s="62" t="s">
        <v>675</v>
      </c>
      <c r="AI72" s="62" t="s">
        <v>25</v>
      </c>
      <c r="AJ72" s="66"/>
      <c r="AK72" s="74">
        <v>0</v>
      </c>
      <c r="AL72" s="68">
        <v>0</v>
      </c>
      <c r="AM72" s="69">
        <v>0</v>
      </c>
      <c r="AN72" s="74">
        <f t="shared" ref="AN72:AN88" si="7">AK72+AL72+AM72</f>
        <v>0</v>
      </c>
      <c r="AO72" s="70"/>
      <c r="AP72" s="74">
        <v>0</v>
      </c>
      <c r="AQ72" s="68">
        <f t="shared" si="4"/>
        <v>0</v>
      </c>
      <c r="AR72" s="68">
        <f t="shared" si="5"/>
        <v>0</v>
      </c>
      <c r="AS72" s="68">
        <v>0</v>
      </c>
      <c r="AT72" s="68">
        <v>0</v>
      </c>
      <c r="AU72" s="68">
        <f t="shared" si="6"/>
        <v>0</v>
      </c>
      <c r="AV72" s="66"/>
      <c r="AW72" s="75"/>
    </row>
    <row r="73" spans="2:49" s="92" customFormat="1">
      <c r="B73" s="62">
        <v>67</v>
      </c>
      <c r="C73" s="63" t="s">
        <v>769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 t="s">
        <v>836</v>
      </c>
      <c r="O73" s="62">
        <v>21447676</v>
      </c>
      <c r="P73" s="62">
        <v>956634229</v>
      </c>
      <c r="Q73" s="76" t="s">
        <v>912</v>
      </c>
      <c r="R73" s="62" t="s">
        <v>675</v>
      </c>
      <c r="S73" s="62" t="s">
        <v>675</v>
      </c>
      <c r="T73" s="73">
        <v>37</v>
      </c>
      <c r="U73" s="62" t="s">
        <v>675</v>
      </c>
      <c r="V73" s="62" t="s">
        <v>845</v>
      </c>
      <c r="W73" s="62" t="s">
        <v>850</v>
      </c>
      <c r="X73" s="62" t="s">
        <v>840</v>
      </c>
      <c r="Y73" s="81">
        <v>46125</v>
      </c>
      <c r="Z73" s="65" t="s">
        <v>879</v>
      </c>
      <c r="AA73" s="81">
        <v>46105</v>
      </c>
      <c r="AB73" s="65" t="s">
        <v>675</v>
      </c>
      <c r="AC73" s="62" t="s">
        <v>40</v>
      </c>
      <c r="AD73" s="62" t="s">
        <v>675</v>
      </c>
      <c r="AE73" s="62" t="s">
        <v>675</v>
      </c>
      <c r="AF73" s="62" t="s">
        <v>710</v>
      </c>
      <c r="AG73" s="62" t="s">
        <v>841</v>
      </c>
      <c r="AH73" s="62" t="s">
        <v>675</v>
      </c>
      <c r="AI73" s="62" t="s">
        <v>25</v>
      </c>
      <c r="AJ73" s="66"/>
      <c r="AK73" s="74">
        <v>0</v>
      </c>
      <c r="AL73" s="68">
        <v>0</v>
      </c>
      <c r="AM73" s="69">
        <v>0</v>
      </c>
      <c r="AN73" s="74">
        <f t="shared" si="7"/>
        <v>0</v>
      </c>
      <c r="AO73" s="70"/>
      <c r="AP73" s="74">
        <v>0</v>
      </c>
      <c r="AQ73" s="68">
        <f t="shared" si="4"/>
        <v>0</v>
      </c>
      <c r="AR73" s="68">
        <f t="shared" si="5"/>
        <v>0</v>
      </c>
      <c r="AS73" s="68">
        <v>0</v>
      </c>
      <c r="AT73" s="68">
        <v>0</v>
      </c>
      <c r="AU73" s="68">
        <f t="shared" si="6"/>
        <v>0</v>
      </c>
      <c r="AV73" s="61"/>
      <c r="AW73" s="71"/>
    </row>
    <row r="74" spans="2:49" s="92" customFormat="1">
      <c r="B74" s="62">
        <v>68</v>
      </c>
      <c r="C74" s="63" t="s">
        <v>770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 t="s">
        <v>836</v>
      </c>
      <c r="O74" s="62">
        <v>46078496</v>
      </c>
      <c r="P74" s="62">
        <v>991604262</v>
      </c>
      <c r="Q74" s="76" t="s">
        <v>913</v>
      </c>
      <c r="R74" s="62" t="s">
        <v>675</v>
      </c>
      <c r="S74" s="62" t="s">
        <v>675</v>
      </c>
      <c r="T74" s="73">
        <v>11</v>
      </c>
      <c r="U74" s="62" t="s">
        <v>675</v>
      </c>
      <c r="V74" s="62" t="s">
        <v>838</v>
      </c>
      <c r="W74" s="62" t="s">
        <v>850</v>
      </c>
      <c r="X74" s="62" t="s">
        <v>840</v>
      </c>
      <c r="Y74" s="81">
        <v>46125</v>
      </c>
      <c r="Z74" s="65" t="s">
        <v>879</v>
      </c>
      <c r="AA74" s="81">
        <v>46105</v>
      </c>
      <c r="AB74" s="65" t="s">
        <v>675</v>
      </c>
      <c r="AC74" s="62" t="s">
        <v>19</v>
      </c>
      <c r="AD74" s="62" t="s">
        <v>675</v>
      </c>
      <c r="AE74" s="62" t="s">
        <v>675</v>
      </c>
      <c r="AF74" s="62" t="s">
        <v>771</v>
      </c>
      <c r="AG74" s="62" t="s">
        <v>841</v>
      </c>
      <c r="AH74" s="62" t="s">
        <v>675</v>
      </c>
      <c r="AI74" s="62" t="s">
        <v>41</v>
      </c>
      <c r="AJ74" s="66"/>
      <c r="AK74" s="74">
        <v>0</v>
      </c>
      <c r="AL74" s="68">
        <v>0</v>
      </c>
      <c r="AM74" s="69">
        <v>0</v>
      </c>
      <c r="AN74" s="74">
        <f t="shared" si="7"/>
        <v>0</v>
      </c>
      <c r="AO74" s="70"/>
      <c r="AP74" s="74">
        <v>0</v>
      </c>
      <c r="AQ74" s="68">
        <f t="shared" si="4"/>
        <v>0</v>
      </c>
      <c r="AR74" s="68">
        <f t="shared" si="5"/>
        <v>0</v>
      </c>
      <c r="AS74" s="68">
        <v>0</v>
      </c>
      <c r="AT74" s="68">
        <v>0</v>
      </c>
      <c r="AU74" s="68">
        <f t="shared" si="6"/>
        <v>0</v>
      </c>
      <c r="AV74" s="66"/>
      <c r="AW74" s="75"/>
    </row>
    <row r="75" spans="2:49" s="92" customFormat="1">
      <c r="B75" s="62">
        <v>69</v>
      </c>
      <c r="C75" s="63" t="s">
        <v>772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 t="s">
        <v>836</v>
      </c>
      <c r="O75" s="62">
        <v>45221222</v>
      </c>
      <c r="P75" s="62">
        <v>940193258</v>
      </c>
      <c r="Q75" s="76" t="s">
        <v>914</v>
      </c>
      <c r="R75" s="62" t="s">
        <v>675</v>
      </c>
      <c r="S75" s="62" t="s">
        <v>675</v>
      </c>
      <c r="T75" s="73">
        <v>14</v>
      </c>
      <c r="U75" s="62" t="s">
        <v>675</v>
      </c>
      <c r="V75" s="62" t="s">
        <v>838</v>
      </c>
      <c r="W75" s="62" t="s">
        <v>850</v>
      </c>
      <c r="X75" s="62" t="s">
        <v>840</v>
      </c>
      <c r="Y75" s="81">
        <v>46125</v>
      </c>
      <c r="Z75" s="65" t="s">
        <v>879</v>
      </c>
      <c r="AA75" s="81">
        <v>46105</v>
      </c>
      <c r="AB75" s="65" t="s">
        <v>675</v>
      </c>
      <c r="AC75" s="62" t="s">
        <v>19</v>
      </c>
      <c r="AD75" s="62" t="s">
        <v>675</v>
      </c>
      <c r="AE75" s="62" t="s">
        <v>675</v>
      </c>
      <c r="AF75" s="62" t="s">
        <v>702</v>
      </c>
      <c r="AG75" s="62" t="s">
        <v>841</v>
      </c>
      <c r="AH75" s="62" t="s">
        <v>675</v>
      </c>
      <c r="AI75" s="62" t="s">
        <v>20</v>
      </c>
      <c r="AJ75" s="66"/>
      <c r="AK75" s="74">
        <v>0</v>
      </c>
      <c r="AL75" s="68">
        <v>0</v>
      </c>
      <c r="AM75" s="69">
        <v>0</v>
      </c>
      <c r="AN75" s="74">
        <f t="shared" si="7"/>
        <v>0</v>
      </c>
      <c r="AO75" s="70"/>
      <c r="AP75" s="74">
        <v>0</v>
      </c>
      <c r="AQ75" s="68">
        <f t="shared" si="4"/>
        <v>0</v>
      </c>
      <c r="AR75" s="68">
        <f t="shared" si="5"/>
        <v>0</v>
      </c>
      <c r="AS75" s="68">
        <v>0</v>
      </c>
      <c r="AT75" s="68">
        <v>0</v>
      </c>
      <c r="AU75" s="68">
        <f t="shared" si="6"/>
        <v>0</v>
      </c>
      <c r="AV75" s="61"/>
      <c r="AW75" s="71"/>
    </row>
    <row r="76" spans="2:49" s="92" customFormat="1">
      <c r="B76" s="62">
        <v>70</v>
      </c>
      <c r="C76" s="63" t="s">
        <v>773</v>
      </c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 t="s">
        <v>836</v>
      </c>
      <c r="O76" s="62">
        <v>45023124</v>
      </c>
      <c r="P76" s="62">
        <v>916461195</v>
      </c>
      <c r="Q76" s="76" t="s">
        <v>915</v>
      </c>
      <c r="R76" s="62" t="s">
        <v>675</v>
      </c>
      <c r="S76" s="62" t="s">
        <v>675</v>
      </c>
      <c r="T76" s="73">
        <v>16</v>
      </c>
      <c r="U76" s="62" t="s">
        <v>675</v>
      </c>
      <c r="V76" s="62" t="s">
        <v>838</v>
      </c>
      <c r="W76" s="62" t="s">
        <v>850</v>
      </c>
      <c r="X76" s="62" t="s">
        <v>840</v>
      </c>
      <c r="Y76" s="81">
        <v>46125</v>
      </c>
      <c r="Z76" s="65" t="s">
        <v>879</v>
      </c>
      <c r="AA76" s="81">
        <v>46105</v>
      </c>
      <c r="AB76" s="65" t="s">
        <v>675</v>
      </c>
      <c r="AC76" s="62" t="s">
        <v>19</v>
      </c>
      <c r="AD76" s="62" t="s">
        <v>675</v>
      </c>
      <c r="AE76" s="62" t="s">
        <v>675</v>
      </c>
      <c r="AF76" s="62" t="s">
        <v>702</v>
      </c>
      <c r="AG76" s="62" t="s">
        <v>841</v>
      </c>
      <c r="AH76" s="62" t="s">
        <v>675</v>
      </c>
      <c r="AI76" s="62" t="s">
        <v>20</v>
      </c>
      <c r="AJ76" s="66"/>
      <c r="AK76" s="74">
        <v>0</v>
      </c>
      <c r="AL76" s="68">
        <v>0</v>
      </c>
      <c r="AM76" s="69">
        <v>0</v>
      </c>
      <c r="AN76" s="74">
        <f t="shared" si="7"/>
        <v>0</v>
      </c>
      <c r="AO76" s="70"/>
      <c r="AP76" s="74">
        <v>0</v>
      </c>
      <c r="AQ76" s="68">
        <f t="shared" si="4"/>
        <v>0</v>
      </c>
      <c r="AR76" s="68">
        <f t="shared" si="5"/>
        <v>0</v>
      </c>
      <c r="AS76" s="68">
        <v>0</v>
      </c>
      <c r="AT76" s="68">
        <v>0</v>
      </c>
      <c r="AU76" s="68">
        <f t="shared" si="6"/>
        <v>0</v>
      </c>
      <c r="AV76" s="66"/>
      <c r="AW76" s="75"/>
    </row>
    <row r="77" spans="2:49" s="92" customFormat="1">
      <c r="B77" s="62">
        <v>71</v>
      </c>
      <c r="C77" s="63" t="s">
        <v>774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 t="s">
        <v>836</v>
      </c>
      <c r="O77" s="62">
        <v>16662940</v>
      </c>
      <c r="P77" s="62">
        <v>998008120</v>
      </c>
      <c r="Q77" s="76" t="s">
        <v>916</v>
      </c>
      <c r="R77" s="62" t="s">
        <v>675</v>
      </c>
      <c r="S77" s="62" t="s">
        <v>675</v>
      </c>
      <c r="T77" s="73">
        <v>16</v>
      </c>
      <c r="U77" s="62" t="s">
        <v>675</v>
      </c>
      <c r="V77" s="62" t="s">
        <v>838</v>
      </c>
      <c r="W77" s="62" t="s">
        <v>850</v>
      </c>
      <c r="X77" s="62" t="s">
        <v>840</v>
      </c>
      <c r="Y77" s="81">
        <v>46125</v>
      </c>
      <c r="Z77" s="65" t="s">
        <v>879</v>
      </c>
      <c r="AA77" s="81">
        <v>46105</v>
      </c>
      <c r="AB77" s="65" t="s">
        <v>675</v>
      </c>
      <c r="AC77" s="62" t="s">
        <v>19</v>
      </c>
      <c r="AD77" s="62" t="s">
        <v>675</v>
      </c>
      <c r="AE77" s="62" t="s">
        <v>675</v>
      </c>
      <c r="AF77" s="62" t="s">
        <v>702</v>
      </c>
      <c r="AG77" s="62" t="s">
        <v>841</v>
      </c>
      <c r="AH77" s="62" t="s">
        <v>675</v>
      </c>
      <c r="AI77" s="62" t="s">
        <v>20</v>
      </c>
      <c r="AJ77" s="66"/>
      <c r="AK77" s="74">
        <v>0</v>
      </c>
      <c r="AL77" s="68">
        <v>0</v>
      </c>
      <c r="AM77" s="69">
        <v>0</v>
      </c>
      <c r="AN77" s="74">
        <f t="shared" si="7"/>
        <v>0</v>
      </c>
      <c r="AO77" s="70"/>
      <c r="AP77" s="74">
        <v>0</v>
      </c>
      <c r="AQ77" s="68">
        <f t="shared" si="4"/>
        <v>0</v>
      </c>
      <c r="AR77" s="68">
        <f t="shared" si="5"/>
        <v>0</v>
      </c>
      <c r="AS77" s="68">
        <v>0</v>
      </c>
      <c r="AT77" s="68">
        <v>0</v>
      </c>
      <c r="AU77" s="68">
        <f t="shared" si="6"/>
        <v>0</v>
      </c>
      <c r="AV77" s="61"/>
      <c r="AW77" s="71"/>
    </row>
    <row r="78" spans="2:49" s="92" customFormat="1">
      <c r="B78" s="62">
        <v>72</v>
      </c>
      <c r="C78" s="63" t="s">
        <v>775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 t="s">
        <v>836</v>
      </c>
      <c r="O78" s="62">
        <v>44859703</v>
      </c>
      <c r="P78" s="62">
        <v>972717272</v>
      </c>
      <c r="Q78" s="76" t="s">
        <v>917</v>
      </c>
      <c r="R78" s="62" t="s">
        <v>675</v>
      </c>
      <c r="S78" s="62" t="s">
        <v>675</v>
      </c>
      <c r="T78" s="73">
        <v>11</v>
      </c>
      <c r="U78" s="62" t="s">
        <v>675</v>
      </c>
      <c r="V78" s="62" t="s">
        <v>838</v>
      </c>
      <c r="W78" s="62" t="s">
        <v>850</v>
      </c>
      <c r="X78" s="62" t="s">
        <v>840</v>
      </c>
      <c r="Y78" s="81">
        <v>46125</v>
      </c>
      <c r="Z78" s="65" t="s">
        <v>879</v>
      </c>
      <c r="AA78" s="81">
        <v>46105</v>
      </c>
      <c r="AB78" s="65" t="s">
        <v>675</v>
      </c>
      <c r="AC78" s="62" t="s">
        <v>40</v>
      </c>
      <c r="AD78" s="62" t="s">
        <v>675</v>
      </c>
      <c r="AE78" s="62" t="s">
        <v>675</v>
      </c>
      <c r="AF78" s="62" t="s">
        <v>710</v>
      </c>
      <c r="AG78" s="62" t="s">
        <v>841</v>
      </c>
      <c r="AH78" s="62" t="s">
        <v>675</v>
      </c>
      <c r="AI78" s="62" t="s">
        <v>32</v>
      </c>
      <c r="AJ78" s="66"/>
      <c r="AK78" s="74">
        <v>0</v>
      </c>
      <c r="AL78" s="68">
        <v>0</v>
      </c>
      <c r="AM78" s="69">
        <v>0</v>
      </c>
      <c r="AN78" s="74">
        <f t="shared" si="7"/>
        <v>0</v>
      </c>
      <c r="AO78" s="70"/>
      <c r="AP78" s="74">
        <v>0</v>
      </c>
      <c r="AQ78" s="68">
        <f t="shared" si="4"/>
        <v>0</v>
      </c>
      <c r="AR78" s="68">
        <f t="shared" si="5"/>
        <v>0</v>
      </c>
      <c r="AS78" s="68">
        <v>0</v>
      </c>
      <c r="AT78" s="68">
        <v>0</v>
      </c>
      <c r="AU78" s="68">
        <f t="shared" si="6"/>
        <v>0</v>
      </c>
      <c r="AV78" s="66"/>
      <c r="AW78" s="75"/>
    </row>
    <row r="79" spans="2:49" s="92" customFormat="1">
      <c r="B79" s="62">
        <v>73</v>
      </c>
      <c r="C79" s="63" t="s">
        <v>776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 t="s">
        <v>836</v>
      </c>
      <c r="O79" s="62">
        <v>18071852</v>
      </c>
      <c r="P79" s="62">
        <v>964297579</v>
      </c>
      <c r="Q79" s="76" t="s">
        <v>918</v>
      </c>
      <c r="R79" s="62" t="s">
        <v>675</v>
      </c>
      <c r="S79" s="62" t="s">
        <v>675</v>
      </c>
      <c r="T79" s="73">
        <v>40</v>
      </c>
      <c r="U79" s="62" t="s">
        <v>675</v>
      </c>
      <c r="V79" s="62" t="s">
        <v>845</v>
      </c>
      <c r="W79" s="62" t="s">
        <v>850</v>
      </c>
      <c r="X79" s="62" t="s">
        <v>840</v>
      </c>
      <c r="Y79" s="81">
        <v>46125</v>
      </c>
      <c r="Z79" s="65" t="s">
        <v>879</v>
      </c>
      <c r="AA79" s="81">
        <v>46105</v>
      </c>
      <c r="AB79" s="65" t="s">
        <v>675</v>
      </c>
      <c r="AC79" s="62" t="s">
        <v>19</v>
      </c>
      <c r="AD79" s="62" t="s">
        <v>675</v>
      </c>
      <c r="AE79" s="62" t="s">
        <v>675</v>
      </c>
      <c r="AF79" s="62" t="s">
        <v>702</v>
      </c>
      <c r="AG79" s="62" t="s">
        <v>841</v>
      </c>
      <c r="AH79" s="62"/>
      <c r="AI79" s="62" t="s">
        <v>32</v>
      </c>
      <c r="AJ79" s="66"/>
      <c r="AK79" s="74">
        <v>0</v>
      </c>
      <c r="AL79" s="68">
        <v>0</v>
      </c>
      <c r="AM79" s="69">
        <v>0</v>
      </c>
      <c r="AN79" s="74">
        <f t="shared" si="7"/>
        <v>0</v>
      </c>
      <c r="AO79" s="70"/>
      <c r="AP79" s="74">
        <v>0</v>
      </c>
      <c r="AQ79" s="68">
        <f t="shared" si="4"/>
        <v>0</v>
      </c>
      <c r="AR79" s="68">
        <f t="shared" si="5"/>
        <v>0</v>
      </c>
      <c r="AS79" s="68">
        <v>0</v>
      </c>
      <c r="AT79" s="68">
        <v>0</v>
      </c>
      <c r="AU79" s="68">
        <f t="shared" si="6"/>
        <v>0</v>
      </c>
      <c r="AV79" s="66"/>
      <c r="AW79" s="75"/>
    </row>
    <row r="80" spans="2:49" s="92" customFormat="1" ht="15">
      <c r="B80" s="62">
        <v>74</v>
      </c>
      <c r="C80" s="63" t="s">
        <v>709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 t="s">
        <v>836</v>
      </c>
      <c r="O80" s="62">
        <v>41461731</v>
      </c>
      <c r="P80" s="117"/>
      <c r="Q80" s="117"/>
      <c r="R80" s="107" t="s">
        <v>711</v>
      </c>
      <c r="S80" s="62">
        <v>10</v>
      </c>
      <c r="T80" s="73">
        <v>15</v>
      </c>
      <c r="U80" s="62" t="s">
        <v>838</v>
      </c>
      <c r="V80" s="62" t="s">
        <v>838</v>
      </c>
      <c r="W80" s="62" t="s">
        <v>846</v>
      </c>
      <c r="X80" s="62" t="s">
        <v>840</v>
      </c>
      <c r="Y80" s="81">
        <v>45769</v>
      </c>
      <c r="Z80" s="65"/>
      <c r="AA80" s="65"/>
      <c r="AB80" s="65" t="s">
        <v>40</v>
      </c>
      <c r="AC80" s="62" t="s">
        <v>40</v>
      </c>
      <c r="AD80" s="62" t="s">
        <v>710</v>
      </c>
      <c r="AE80" s="62" t="s">
        <v>841</v>
      </c>
      <c r="AF80" s="62" t="s">
        <v>710</v>
      </c>
      <c r="AG80" s="62" t="s">
        <v>841</v>
      </c>
      <c r="AH80" s="62" t="s">
        <v>32</v>
      </c>
      <c r="AI80" s="62" t="s">
        <v>32</v>
      </c>
      <c r="AJ80" s="66"/>
      <c r="AK80" s="74">
        <v>0</v>
      </c>
      <c r="AL80" s="68">
        <v>0</v>
      </c>
      <c r="AM80" s="69">
        <v>0</v>
      </c>
      <c r="AN80" s="74">
        <f t="shared" si="7"/>
        <v>0</v>
      </c>
      <c r="AO80" s="70"/>
      <c r="AP80" s="74">
        <v>0</v>
      </c>
      <c r="AQ80" s="68">
        <f t="shared" si="4"/>
        <v>0</v>
      </c>
      <c r="AR80" s="68">
        <f t="shared" si="5"/>
        <v>0</v>
      </c>
      <c r="AS80" s="68">
        <v>0</v>
      </c>
      <c r="AT80" s="68">
        <v>0</v>
      </c>
      <c r="AU80" s="68">
        <f t="shared" si="6"/>
        <v>0</v>
      </c>
      <c r="AV80" s="61"/>
      <c r="AW80" s="71"/>
    </row>
    <row r="81" spans="2:49" s="92" customFormat="1" ht="15">
      <c r="B81" s="62">
        <v>75</v>
      </c>
      <c r="C81" s="63" t="s">
        <v>678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 t="s">
        <v>836</v>
      </c>
      <c r="O81" s="62">
        <v>21814775</v>
      </c>
      <c r="P81" s="62">
        <v>955906921</v>
      </c>
      <c r="Q81" s="117"/>
      <c r="R81" s="107" t="s">
        <v>680</v>
      </c>
      <c r="S81" s="62">
        <v>30</v>
      </c>
      <c r="T81" s="73">
        <v>33</v>
      </c>
      <c r="U81" s="62" t="s">
        <v>845</v>
      </c>
      <c r="V81" s="62" t="s">
        <v>845</v>
      </c>
      <c r="W81" s="62" t="s">
        <v>846</v>
      </c>
      <c r="X81" s="62" t="s">
        <v>840</v>
      </c>
      <c r="Y81" s="81">
        <v>41722</v>
      </c>
      <c r="Z81" s="65"/>
      <c r="AA81" s="65"/>
      <c r="AB81" s="65" t="s">
        <v>40</v>
      </c>
      <c r="AC81" s="62" t="s">
        <v>19</v>
      </c>
      <c r="AD81" s="62" t="s">
        <v>679</v>
      </c>
      <c r="AE81" s="62" t="s">
        <v>841</v>
      </c>
      <c r="AF81" s="62" t="s">
        <v>679</v>
      </c>
      <c r="AG81" s="62" t="s">
        <v>841</v>
      </c>
      <c r="AH81" s="62" t="s">
        <v>41</v>
      </c>
      <c r="AI81" s="62" t="s">
        <v>25</v>
      </c>
      <c r="AJ81" s="66"/>
      <c r="AK81" s="74">
        <v>0</v>
      </c>
      <c r="AL81" s="68">
        <v>0</v>
      </c>
      <c r="AM81" s="69">
        <v>0</v>
      </c>
      <c r="AN81" s="74">
        <f t="shared" si="7"/>
        <v>0</v>
      </c>
      <c r="AO81" s="70"/>
      <c r="AP81" s="74">
        <v>0</v>
      </c>
      <c r="AQ81" s="68">
        <f t="shared" si="4"/>
        <v>0</v>
      </c>
      <c r="AR81" s="68">
        <f t="shared" si="5"/>
        <v>0</v>
      </c>
      <c r="AS81" s="68">
        <v>0</v>
      </c>
      <c r="AT81" s="68">
        <v>0</v>
      </c>
      <c r="AU81" s="68">
        <f t="shared" si="6"/>
        <v>0</v>
      </c>
      <c r="AV81" s="66"/>
      <c r="AW81" s="75"/>
    </row>
    <row r="82" spans="2:49" s="130" customFormat="1" ht="15">
      <c r="B82" s="118">
        <v>76</v>
      </c>
      <c r="C82" s="119" t="s">
        <v>919</v>
      </c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 t="s">
        <v>836</v>
      </c>
      <c r="O82" s="118">
        <v>21783999</v>
      </c>
      <c r="P82" s="117"/>
      <c r="Q82" s="117"/>
      <c r="R82" s="153" t="s">
        <v>920</v>
      </c>
      <c r="S82" s="118">
        <v>35</v>
      </c>
      <c r="T82" s="120">
        <v>35</v>
      </c>
      <c r="U82" s="118" t="s">
        <v>845</v>
      </c>
      <c r="V82" s="118" t="s">
        <v>845</v>
      </c>
      <c r="W82" s="118" t="s">
        <v>846</v>
      </c>
      <c r="X82" s="118" t="s">
        <v>840</v>
      </c>
      <c r="Y82" s="121">
        <v>44655</v>
      </c>
      <c r="Z82" s="122"/>
      <c r="AA82" s="122"/>
      <c r="AB82" s="122" t="s">
        <v>19</v>
      </c>
      <c r="AC82" s="118" t="s">
        <v>19</v>
      </c>
      <c r="AD82" s="118" t="s">
        <v>758</v>
      </c>
      <c r="AE82" s="118" t="s">
        <v>841</v>
      </c>
      <c r="AF82" s="118" t="s">
        <v>758</v>
      </c>
      <c r="AG82" s="118" t="s">
        <v>841</v>
      </c>
      <c r="AH82" s="118" t="s">
        <v>32</v>
      </c>
      <c r="AI82" s="118" t="s">
        <v>32</v>
      </c>
      <c r="AJ82" s="123"/>
      <c r="AK82" s="124">
        <v>0</v>
      </c>
      <c r="AL82" s="125">
        <v>0</v>
      </c>
      <c r="AM82" s="126">
        <v>0</v>
      </c>
      <c r="AN82" s="124">
        <f t="shared" si="7"/>
        <v>0</v>
      </c>
      <c r="AO82" s="127"/>
      <c r="AP82" s="124">
        <v>0</v>
      </c>
      <c r="AQ82" s="125">
        <f t="shared" si="4"/>
        <v>0</v>
      </c>
      <c r="AR82" s="125">
        <f t="shared" si="5"/>
        <v>0</v>
      </c>
      <c r="AS82" s="125">
        <v>0</v>
      </c>
      <c r="AT82" s="125">
        <v>0</v>
      </c>
      <c r="AU82" s="125">
        <f t="shared" si="6"/>
        <v>0</v>
      </c>
      <c r="AV82" s="128"/>
      <c r="AW82" s="129"/>
    </row>
    <row r="83" spans="2:49" s="130" customFormat="1">
      <c r="B83" s="118">
        <v>77</v>
      </c>
      <c r="C83" s="119" t="s">
        <v>921</v>
      </c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 t="s">
        <v>836</v>
      </c>
      <c r="O83" s="118">
        <v>41074586</v>
      </c>
      <c r="P83" s="140">
        <v>949325972</v>
      </c>
      <c r="Q83" s="117"/>
      <c r="R83" s="140" t="s">
        <v>922</v>
      </c>
      <c r="S83" s="118">
        <v>17</v>
      </c>
      <c r="T83" s="120">
        <v>19</v>
      </c>
      <c r="U83" s="118" t="s">
        <v>838</v>
      </c>
      <c r="V83" s="118" t="s">
        <v>838</v>
      </c>
      <c r="W83" s="118" t="s">
        <v>846</v>
      </c>
      <c r="X83" s="118" t="s">
        <v>840</v>
      </c>
      <c r="Y83" s="121">
        <v>44655</v>
      </c>
      <c r="Z83" s="122"/>
      <c r="AA83" s="122"/>
      <c r="AB83" s="122" t="s">
        <v>19</v>
      </c>
      <c r="AC83" s="118" t="s">
        <v>19</v>
      </c>
      <c r="AD83" s="118" t="s">
        <v>702</v>
      </c>
      <c r="AE83" s="118" t="s">
        <v>841</v>
      </c>
      <c r="AF83" s="118" t="s">
        <v>702</v>
      </c>
      <c r="AG83" s="118" t="s">
        <v>841</v>
      </c>
      <c r="AH83" s="118" t="s">
        <v>32</v>
      </c>
      <c r="AI83" s="118" t="s">
        <v>32</v>
      </c>
      <c r="AJ83" s="123"/>
      <c r="AK83" s="124">
        <v>0</v>
      </c>
      <c r="AL83" s="125">
        <v>0</v>
      </c>
      <c r="AM83" s="126">
        <v>0</v>
      </c>
      <c r="AN83" s="124">
        <f t="shared" si="7"/>
        <v>0</v>
      </c>
      <c r="AO83" s="127"/>
      <c r="AP83" s="124">
        <v>0</v>
      </c>
      <c r="AQ83" s="125">
        <f t="shared" si="4"/>
        <v>0</v>
      </c>
      <c r="AR83" s="125">
        <f t="shared" si="5"/>
        <v>0</v>
      </c>
      <c r="AS83" s="125">
        <v>0</v>
      </c>
      <c r="AT83" s="125">
        <v>0</v>
      </c>
      <c r="AU83" s="125">
        <f t="shared" si="6"/>
        <v>0</v>
      </c>
      <c r="AV83" s="123"/>
      <c r="AW83" s="131"/>
    </row>
    <row r="84" spans="2:49" s="130" customFormat="1">
      <c r="B84" s="118">
        <v>78</v>
      </c>
      <c r="C84" s="119" t="s">
        <v>923</v>
      </c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 t="s">
        <v>836</v>
      </c>
      <c r="O84" s="118">
        <v>45912781</v>
      </c>
      <c r="P84" s="140">
        <v>924178638</v>
      </c>
      <c r="Q84" s="117"/>
      <c r="R84" s="140" t="s">
        <v>924</v>
      </c>
      <c r="S84" s="118">
        <v>15</v>
      </c>
      <c r="T84" s="120">
        <v>37</v>
      </c>
      <c r="U84" s="118" t="s">
        <v>838</v>
      </c>
      <c r="V84" s="118" t="s">
        <v>845</v>
      </c>
      <c r="W84" s="118" t="s">
        <v>846</v>
      </c>
      <c r="X84" s="118" t="s">
        <v>840</v>
      </c>
      <c r="Y84" s="121">
        <v>45922</v>
      </c>
      <c r="Z84" s="122"/>
      <c r="AA84" s="122"/>
      <c r="AB84" s="122" t="s">
        <v>19</v>
      </c>
      <c r="AC84" s="118" t="s">
        <v>19</v>
      </c>
      <c r="AD84" s="118" t="s">
        <v>702</v>
      </c>
      <c r="AE84" s="118" t="s">
        <v>841</v>
      </c>
      <c r="AF84" s="118" t="s">
        <v>925</v>
      </c>
      <c r="AG84" s="118" t="s">
        <v>841</v>
      </c>
      <c r="AH84" s="118" t="s">
        <v>32</v>
      </c>
      <c r="AI84" s="118" t="s">
        <v>32</v>
      </c>
      <c r="AJ84" s="123"/>
      <c r="AK84" s="124">
        <v>0</v>
      </c>
      <c r="AL84" s="125">
        <v>0</v>
      </c>
      <c r="AM84" s="126">
        <v>0</v>
      </c>
      <c r="AN84" s="124">
        <f t="shared" si="7"/>
        <v>0</v>
      </c>
      <c r="AO84" s="127"/>
      <c r="AP84" s="124">
        <v>0</v>
      </c>
      <c r="AQ84" s="125">
        <f t="shared" si="4"/>
        <v>0</v>
      </c>
      <c r="AR84" s="125">
        <f t="shared" si="5"/>
        <v>0</v>
      </c>
      <c r="AS84" s="125">
        <v>0</v>
      </c>
      <c r="AT84" s="125">
        <v>0</v>
      </c>
      <c r="AU84" s="125">
        <f t="shared" si="6"/>
        <v>0</v>
      </c>
      <c r="AV84" s="128"/>
      <c r="AW84" s="129"/>
    </row>
    <row r="85" spans="2:49" s="130" customFormat="1">
      <c r="B85" s="118">
        <v>79</v>
      </c>
      <c r="C85" s="119" t="s">
        <v>926</v>
      </c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 t="s">
        <v>836</v>
      </c>
      <c r="O85" s="118">
        <v>43650447</v>
      </c>
      <c r="P85" s="140">
        <v>930417027</v>
      </c>
      <c r="Q85" s="140" t="s">
        <v>927</v>
      </c>
      <c r="R85" s="140" t="s">
        <v>928</v>
      </c>
      <c r="S85" s="118">
        <v>28</v>
      </c>
      <c r="T85" s="120">
        <v>35</v>
      </c>
      <c r="U85" s="118" t="s">
        <v>845</v>
      </c>
      <c r="V85" s="118" t="s">
        <v>845</v>
      </c>
      <c r="W85" s="118" t="s">
        <v>846</v>
      </c>
      <c r="X85" s="118" t="s">
        <v>840</v>
      </c>
      <c r="Y85" s="121">
        <v>45264</v>
      </c>
      <c r="Z85" s="122"/>
      <c r="AA85" s="122"/>
      <c r="AB85" s="122" t="s">
        <v>19</v>
      </c>
      <c r="AC85" s="118" t="s">
        <v>19</v>
      </c>
      <c r="AD85" s="118" t="s">
        <v>728</v>
      </c>
      <c r="AE85" s="118" t="s">
        <v>841</v>
      </c>
      <c r="AF85" s="118" t="s">
        <v>728</v>
      </c>
      <c r="AG85" s="118" t="s">
        <v>841</v>
      </c>
      <c r="AH85" s="118" t="s">
        <v>32</v>
      </c>
      <c r="AI85" s="118" t="s">
        <v>25</v>
      </c>
      <c r="AJ85" s="123"/>
      <c r="AK85" s="124">
        <v>0</v>
      </c>
      <c r="AL85" s="125">
        <v>0</v>
      </c>
      <c r="AM85" s="126">
        <v>0</v>
      </c>
      <c r="AN85" s="124">
        <f t="shared" si="7"/>
        <v>0</v>
      </c>
      <c r="AO85" s="127"/>
      <c r="AP85" s="124">
        <v>0</v>
      </c>
      <c r="AQ85" s="125">
        <f t="shared" si="4"/>
        <v>0</v>
      </c>
      <c r="AR85" s="125">
        <f t="shared" si="5"/>
        <v>0</v>
      </c>
      <c r="AS85" s="125">
        <v>0</v>
      </c>
      <c r="AT85" s="125">
        <v>0</v>
      </c>
      <c r="AU85" s="125">
        <f t="shared" si="6"/>
        <v>0</v>
      </c>
      <c r="AV85" s="123"/>
      <c r="AW85" s="131"/>
    </row>
    <row r="86" spans="2:49" s="130" customFormat="1">
      <c r="B86" s="118">
        <v>80</v>
      </c>
      <c r="C86" s="119" t="s">
        <v>929</v>
      </c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 t="s">
        <v>836</v>
      </c>
      <c r="O86" s="118">
        <v>45493343</v>
      </c>
      <c r="P86" s="140">
        <v>949961793</v>
      </c>
      <c r="Q86" s="117"/>
      <c r="R86" s="140" t="s">
        <v>930</v>
      </c>
      <c r="S86" s="118">
        <v>12</v>
      </c>
      <c r="T86" s="120">
        <v>19</v>
      </c>
      <c r="U86" s="118" t="s">
        <v>838</v>
      </c>
      <c r="V86" s="118" t="s">
        <v>838</v>
      </c>
      <c r="W86" s="118" t="s">
        <v>846</v>
      </c>
      <c r="X86" s="135" t="s">
        <v>840</v>
      </c>
      <c r="Y86" s="121">
        <v>44823</v>
      </c>
      <c r="Z86" s="122"/>
      <c r="AA86" s="122"/>
      <c r="AB86" s="122" t="s">
        <v>19</v>
      </c>
      <c r="AC86" s="118" t="s">
        <v>19</v>
      </c>
      <c r="AD86" s="118" t="s">
        <v>702</v>
      </c>
      <c r="AE86" s="118" t="s">
        <v>841</v>
      </c>
      <c r="AF86" s="118" t="s">
        <v>702</v>
      </c>
      <c r="AG86" s="118" t="s">
        <v>841</v>
      </c>
      <c r="AH86" s="118" t="s">
        <v>20</v>
      </c>
      <c r="AI86" s="118" t="s">
        <v>20</v>
      </c>
      <c r="AJ86" s="123"/>
      <c r="AK86" s="124">
        <v>0</v>
      </c>
      <c r="AL86" s="125">
        <v>0</v>
      </c>
      <c r="AM86" s="126">
        <v>0</v>
      </c>
      <c r="AN86" s="124">
        <f t="shared" si="7"/>
        <v>0</v>
      </c>
      <c r="AO86" s="127"/>
      <c r="AP86" s="124">
        <v>0</v>
      </c>
      <c r="AQ86" s="125">
        <f t="shared" si="4"/>
        <v>0</v>
      </c>
      <c r="AR86" s="125">
        <f t="shared" si="5"/>
        <v>0</v>
      </c>
      <c r="AS86" s="125">
        <v>0</v>
      </c>
      <c r="AT86" s="125">
        <v>0</v>
      </c>
      <c r="AU86" s="125">
        <f t="shared" si="6"/>
        <v>0</v>
      </c>
      <c r="AV86" s="128"/>
      <c r="AW86" s="129"/>
    </row>
    <row r="87" spans="2:49" s="130" customFormat="1">
      <c r="B87" s="118">
        <v>81</v>
      </c>
      <c r="C87" s="119" t="s">
        <v>931</v>
      </c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 t="s">
        <v>836</v>
      </c>
      <c r="O87" s="118">
        <v>71431209</v>
      </c>
      <c r="P87" s="140"/>
      <c r="Q87" s="117"/>
      <c r="R87" s="117"/>
      <c r="S87" s="118">
        <v>16</v>
      </c>
      <c r="T87" s="120">
        <v>10</v>
      </c>
      <c r="U87" s="118" t="s">
        <v>838</v>
      </c>
      <c r="V87" s="118" t="s">
        <v>838</v>
      </c>
      <c r="W87" s="135" t="s">
        <v>846</v>
      </c>
      <c r="X87" s="135" t="s">
        <v>840</v>
      </c>
      <c r="Y87" s="121">
        <v>45769</v>
      </c>
      <c r="Z87" s="122"/>
      <c r="AA87" s="122"/>
      <c r="AB87" s="122" t="s">
        <v>19</v>
      </c>
      <c r="AC87" s="118" t="s">
        <v>19</v>
      </c>
      <c r="AD87" s="118" t="s">
        <v>673</v>
      </c>
      <c r="AE87" s="118" t="s">
        <v>841</v>
      </c>
      <c r="AF87" s="118" t="s">
        <v>673</v>
      </c>
      <c r="AG87" s="118" t="s">
        <v>841</v>
      </c>
      <c r="AH87" s="118" t="s">
        <v>25</v>
      </c>
      <c r="AI87" s="118" t="s">
        <v>25</v>
      </c>
      <c r="AJ87" s="123"/>
      <c r="AK87" s="124">
        <v>0</v>
      </c>
      <c r="AL87" s="125">
        <v>0</v>
      </c>
      <c r="AM87" s="126">
        <v>0</v>
      </c>
      <c r="AN87" s="124">
        <f t="shared" si="7"/>
        <v>0</v>
      </c>
      <c r="AO87" s="127"/>
      <c r="AP87" s="124">
        <v>0</v>
      </c>
      <c r="AQ87" s="125">
        <f t="shared" si="4"/>
        <v>0</v>
      </c>
      <c r="AR87" s="125">
        <f t="shared" si="5"/>
        <v>0</v>
      </c>
      <c r="AS87" s="125">
        <v>0</v>
      </c>
      <c r="AT87" s="125">
        <v>0</v>
      </c>
      <c r="AU87" s="125">
        <f t="shared" si="6"/>
        <v>0</v>
      </c>
      <c r="AV87" s="123"/>
      <c r="AW87" s="131"/>
    </row>
    <row r="88" spans="2:49">
      <c r="B88" s="37">
        <v>82</v>
      </c>
      <c r="C88" s="38" t="s">
        <v>932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 t="s">
        <v>836</v>
      </c>
      <c r="O88" s="37">
        <v>44435992</v>
      </c>
      <c r="P88" s="132">
        <v>952210640</v>
      </c>
      <c r="Q88" s="37"/>
      <c r="R88" s="132" t="s">
        <v>933</v>
      </c>
      <c r="S88" s="37"/>
      <c r="T88" s="44">
        <v>14</v>
      </c>
      <c r="U88" s="37"/>
      <c r="V88" s="37" t="s">
        <v>838</v>
      </c>
      <c r="W88" s="37"/>
      <c r="X88" s="37"/>
      <c r="Y88" s="39"/>
      <c r="Z88" s="39"/>
      <c r="AA88" s="39"/>
      <c r="AB88" s="39"/>
      <c r="AC88" s="37" t="s">
        <v>19</v>
      </c>
      <c r="AD88" s="37"/>
      <c r="AE88" s="37"/>
      <c r="AF88" s="37" t="s">
        <v>702</v>
      </c>
      <c r="AG88" s="37" t="s">
        <v>856</v>
      </c>
      <c r="AH88" s="37"/>
      <c r="AI88" s="37" t="s">
        <v>20</v>
      </c>
      <c r="AJ88" s="21"/>
      <c r="AK88" s="45">
        <v>0</v>
      </c>
      <c r="AL88" s="40">
        <v>0</v>
      </c>
      <c r="AM88" s="41">
        <v>0</v>
      </c>
      <c r="AN88" s="45">
        <f t="shared" si="7"/>
        <v>0</v>
      </c>
      <c r="AO88" s="42"/>
      <c r="AP88" s="45">
        <v>0</v>
      </c>
      <c r="AQ88" s="40">
        <f t="shared" si="4"/>
        <v>0</v>
      </c>
      <c r="AR88" s="40">
        <f t="shared" si="5"/>
        <v>0</v>
      </c>
      <c r="AS88" s="40">
        <v>0</v>
      </c>
      <c r="AT88" s="40">
        <v>0</v>
      </c>
      <c r="AU88" s="40">
        <f t="shared" si="6"/>
        <v>0</v>
      </c>
      <c r="AV88" s="22"/>
      <c r="AW88" s="43"/>
    </row>
    <row r="89" spans="2:49">
      <c r="B89" s="37">
        <v>83</v>
      </c>
      <c r="C89" s="38" t="s">
        <v>934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 t="s">
        <v>836</v>
      </c>
      <c r="O89" s="37">
        <v>45879356</v>
      </c>
      <c r="P89" s="132">
        <v>949449706</v>
      </c>
      <c r="Q89" s="37"/>
      <c r="R89" s="132" t="s">
        <v>935</v>
      </c>
      <c r="S89" s="37"/>
      <c r="T89" s="44">
        <v>39</v>
      </c>
      <c r="U89" s="37"/>
      <c r="V89" s="37" t="s">
        <v>845</v>
      </c>
      <c r="W89" s="37"/>
      <c r="X89" s="37"/>
      <c r="Y89" s="39"/>
      <c r="Z89" s="39"/>
      <c r="AA89" s="39"/>
      <c r="AB89" s="39"/>
      <c r="AC89" s="37" t="s">
        <v>19</v>
      </c>
      <c r="AD89" s="37"/>
      <c r="AE89" s="37"/>
      <c r="AF89" s="37" t="s">
        <v>771</v>
      </c>
      <c r="AG89" s="37" t="s">
        <v>841</v>
      </c>
      <c r="AH89" s="37"/>
      <c r="AI89" s="37" t="s">
        <v>32</v>
      </c>
      <c r="AJ89" s="21"/>
      <c r="AK89" s="45">
        <v>0</v>
      </c>
      <c r="AL89" s="40">
        <v>0</v>
      </c>
      <c r="AM89" s="41">
        <v>0</v>
      </c>
      <c r="AN89" s="45">
        <f t="shared" ref="AN89:AN107" si="8">AK89+AL89+AM89</f>
        <v>0</v>
      </c>
      <c r="AO89" s="42"/>
      <c r="AP89" s="45">
        <v>0</v>
      </c>
      <c r="AQ89" s="40">
        <f t="shared" ref="AQ89:AQ107" si="9">AP89*T89</f>
        <v>0</v>
      </c>
      <c r="AR89" s="40">
        <f t="shared" ref="AR89:AR107" si="10">AQ89*4</f>
        <v>0</v>
      </c>
      <c r="AS89" s="40">
        <v>0</v>
      </c>
      <c r="AT89" s="40">
        <v>0</v>
      </c>
      <c r="AU89" s="40">
        <f t="shared" ref="AU89:AU107" si="11">AR89+AS89+AT89</f>
        <v>0</v>
      </c>
      <c r="AV89" s="21"/>
      <c r="AW89" s="46"/>
    </row>
    <row r="90" spans="2:49">
      <c r="B90" s="37">
        <v>84</v>
      </c>
      <c r="C90" s="38" t="s">
        <v>936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 t="s">
        <v>836</v>
      </c>
      <c r="O90" s="37">
        <v>21865174</v>
      </c>
      <c r="P90" s="37">
        <v>941555202</v>
      </c>
      <c r="Q90" s="37"/>
      <c r="R90" s="132" t="s">
        <v>937</v>
      </c>
      <c r="S90" s="37"/>
      <c r="T90" s="44">
        <v>32</v>
      </c>
      <c r="U90" s="37"/>
      <c r="V90" s="37" t="s">
        <v>845</v>
      </c>
      <c r="W90" s="37"/>
      <c r="X90" s="37"/>
      <c r="Y90" s="39"/>
      <c r="Z90" s="39"/>
      <c r="AA90" s="39"/>
      <c r="AB90" s="39"/>
      <c r="AC90" s="37" t="s">
        <v>19</v>
      </c>
      <c r="AD90" s="37"/>
      <c r="AE90" s="37"/>
      <c r="AF90" s="37" t="s">
        <v>771</v>
      </c>
      <c r="AG90" s="37" t="s">
        <v>841</v>
      </c>
      <c r="AH90" s="37"/>
      <c r="AI90" s="37" t="s">
        <v>41</v>
      </c>
      <c r="AJ90" s="21"/>
      <c r="AK90" s="45">
        <v>0</v>
      </c>
      <c r="AL90" s="40">
        <v>0</v>
      </c>
      <c r="AM90" s="41">
        <v>0</v>
      </c>
      <c r="AN90" s="45">
        <f t="shared" si="8"/>
        <v>0</v>
      </c>
      <c r="AO90" s="42"/>
      <c r="AP90" s="45">
        <v>0</v>
      </c>
      <c r="AQ90" s="40">
        <f t="shared" si="9"/>
        <v>0</v>
      </c>
      <c r="AR90" s="40">
        <f t="shared" si="10"/>
        <v>0</v>
      </c>
      <c r="AS90" s="40">
        <v>0</v>
      </c>
      <c r="AT90" s="40">
        <v>0</v>
      </c>
      <c r="AU90" s="40">
        <f t="shared" si="11"/>
        <v>0</v>
      </c>
      <c r="AV90" s="22"/>
      <c r="AW90" s="43"/>
    </row>
    <row r="91" spans="2:49">
      <c r="B91" s="37">
        <v>85</v>
      </c>
      <c r="C91" s="38" t="s">
        <v>938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 t="s">
        <v>836</v>
      </c>
      <c r="O91" s="37">
        <v>44933501</v>
      </c>
      <c r="P91" s="37">
        <v>934959263</v>
      </c>
      <c r="Q91" s="37" t="s">
        <v>939</v>
      </c>
      <c r="R91" s="37" t="s">
        <v>940</v>
      </c>
      <c r="S91" s="37"/>
      <c r="T91" s="44">
        <v>15</v>
      </c>
      <c r="U91" s="37"/>
      <c r="V91" s="37" t="s">
        <v>838</v>
      </c>
      <c r="W91" s="37"/>
      <c r="X91" s="37"/>
      <c r="Y91" s="39"/>
      <c r="Z91" s="39"/>
      <c r="AA91" s="39"/>
      <c r="AB91" s="39"/>
      <c r="AC91" s="37" t="s">
        <v>19</v>
      </c>
      <c r="AD91" s="37"/>
      <c r="AE91" s="37"/>
      <c r="AF91" s="37" t="s">
        <v>728</v>
      </c>
      <c r="AG91" s="37" t="s">
        <v>841</v>
      </c>
      <c r="AH91" s="37"/>
      <c r="AI91" s="37" t="s">
        <v>20</v>
      </c>
      <c r="AJ91" s="21"/>
      <c r="AK91" s="45"/>
      <c r="AL91" s="40"/>
      <c r="AM91" s="41"/>
      <c r="AN91" s="45"/>
      <c r="AO91" s="42"/>
      <c r="AP91" s="45"/>
      <c r="AQ91" s="40"/>
      <c r="AR91" s="40"/>
      <c r="AS91" s="40"/>
      <c r="AT91" s="40"/>
      <c r="AU91" s="40"/>
      <c r="AV91" s="22"/>
      <c r="AW91" s="43"/>
    </row>
    <row r="92" spans="2:49">
      <c r="B92" s="37">
        <v>86</v>
      </c>
      <c r="C92" s="38" t="s">
        <v>941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 t="s">
        <v>836</v>
      </c>
      <c r="O92" s="37">
        <v>41973116</v>
      </c>
      <c r="P92" s="37"/>
      <c r="Q92" s="37"/>
      <c r="R92" s="132" t="s">
        <v>942</v>
      </c>
      <c r="S92" s="37"/>
      <c r="T92" s="44">
        <v>8</v>
      </c>
      <c r="U92" s="37"/>
      <c r="V92" s="37" t="s">
        <v>838</v>
      </c>
      <c r="W92" s="37"/>
      <c r="X92" s="37"/>
      <c r="Y92" s="39"/>
      <c r="Z92" s="39"/>
      <c r="AA92" s="39"/>
      <c r="AB92" s="39"/>
      <c r="AC92" s="37" t="s">
        <v>19</v>
      </c>
      <c r="AD92" s="37"/>
      <c r="AE92" s="37"/>
      <c r="AF92" s="37" t="s">
        <v>679</v>
      </c>
      <c r="AG92" s="37" t="s">
        <v>841</v>
      </c>
      <c r="AH92" s="37"/>
      <c r="AI92" s="37" t="s">
        <v>20</v>
      </c>
      <c r="AJ92" s="21"/>
      <c r="AK92" s="45">
        <v>0</v>
      </c>
      <c r="AL92" s="40">
        <v>0</v>
      </c>
      <c r="AM92" s="41">
        <v>0</v>
      </c>
      <c r="AN92" s="45">
        <f t="shared" si="8"/>
        <v>0</v>
      </c>
      <c r="AO92" s="42"/>
      <c r="AP92" s="45">
        <v>0</v>
      </c>
      <c r="AQ92" s="40">
        <f t="shared" si="9"/>
        <v>0</v>
      </c>
      <c r="AR92" s="40">
        <f t="shared" si="10"/>
        <v>0</v>
      </c>
      <c r="AS92" s="40">
        <v>0</v>
      </c>
      <c r="AT92" s="40">
        <v>0</v>
      </c>
      <c r="AU92" s="40">
        <f t="shared" si="11"/>
        <v>0</v>
      </c>
      <c r="AV92" s="21"/>
      <c r="AW92" s="46"/>
    </row>
    <row r="93" spans="2:49">
      <c r="B93" s="37">
        <v>87</v>
      </c>
      <c r="C93" s="38" t="s">
        <v>943</v>
      </c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 t="s">
        <v>836</v>
      </c>
      <c r="O93" s="37">
        <v>21884864</v>
      </c>
      <c r="P93" s="37"/>
      <c r="Q93" s="37"/>
      <c r="R93" s="37"/>
      <c r="S93" s="37"/>
      <c r="T93" s="44">
        <v>15</v>
      </c>
      <c r="U93" s="37"/>
      <c r="V93" s="37" t="s">
        <v>838</v>
      </c>
      <c r="W93" s="37"/>
      <c r="X93" s="37"/>
      <c r="Y93" s="39"/>
      <c r="Z93" s="39"/>
      <c r="AA93" s="39"/>
      <c r="AB93" s="39"/>
      <c r="AC93" s="37" t="s">
        <v>19</v>
      </c>
      <c r="AD93" s="37"/>
      <c r="AE93" s="37"/>
      <c r="AF93" s="37" t="s">
        <v>758</v>
      </c>
      <c r="AG93" s="37" t="s">
        <v>856</v>
      </c>
      <c r="AH93" s="37"/>
      <c r="AI93" s="37" t="s">
        <v>32</v>
      </c>
      <c r="AJ93" s="21"/>
      <c r="AK93" s="45">
        <v>0</v>
      </c>
      <c r="AL93" s="40">
        <v>0</v>
      </c>
      <c r="AM93" s="41">
        <v>0</v>
      </c>
      <c r="AN93" s="45">
        <f t="shared" si="8"/>
        <v>0</v>
      </c>
      <c r="AO93" s="42"/>
      <c r="AP93" s="45">
        <v>0</v>
      </c>
      <c r="AQ93" s="40">
        <f t="shared" si="9"/>
        <v>0</v>
      </c>
      <c r="AR93" s="40">
        <f t="shared" si="10"/>
        <v>0</v>
      </c>
      <c r="AS93" s="40">
        <v>0</v>
      </c>
      <c r="AT93" s="40">
        <v>0</v>
      </c>
      <c r="AU93" s="40">
        <f t="shared" si="11"/>
        <v>0</v>
      </c>
      <c r="AV93" s="22"/>
      <c r="AW93" s="43"/>
    </row>
    <row r="94" spans="2:49">
      <c r="B94" s="37">
        <v>88</v>
      </c>
      <c r="C94" s="38" t="s">
        <v>944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 t="s">
        <v>836</v>
      </c>
      <c r="O94" s="37">
        <v>40978490</v>
      </c>
      <c r="P94" s="37"/>
      <c r="Q94" s="37"/>
      <c r="R94" s="37"/>
      <c r="S94" s="37"/>
      <c r="T94" s="44">
        <v>16</v>
      </c>
      <c r="U94" s="37"/>
      <c r="V94" s="37" t="s">
        <v>838</v>
      </c>
      <c r="W94" s="37"/>
      <c r="X94" s="37"/>
      <c r="Y94" s="39"/>
      <c r="Z94" s="39"/>
      <c r="AA94" s="39"/>
      <c r="AB94" s="39"/>
      <c r="AC94" s="37" t="s">
        <v>40</v>
      </c>
      <c r="AD94" s="37"/>
      <c r="AE94" s="37"/>
      <c r="AF94" s="37" t="s">
        <v>679</v>
      </c>
      <c r="AG94" s="37" t="s">
        <v>841</v>
      </c>
      <c r="AH94" s="37"/>
      <c r="AI94" s="37" t="s">
        <v>32</v>
      </c>
      <c r="AJ94" s="21"/>
      <c r="AK94" s="45">
        <v>0</v>
      </c>
      <c r="AL94" s="40">
        <v>0</v>
      </c>
      <c r="AM94" s="41">
        <v>0</v>
      </c>
      <c r="AN94" s="45">
        <f t="shared" si="8"/>
        <v>0</v>
      </c>
      <c r="AO94" s="42"/>
      <c r="AP94" s="45">
        <v>0</v>
      </c>
      <c r="AQ94" s="40">
        <f t="shared" si="9"/>
        <v>0</v>
      </c>
      <c r="AR94" s="40">
        <f t="shared" si="10"/>
        <v>0</v>
      </c>
      <c r="AS94" s="40">
        <v>0</v>
      </c>
      <c r="AT94" s="40">
        <v>0</v>
      </c>
      <c r="AU94" s="40">
        <f t="shared" si="11"/>
        <v>0</v>
      </c>
      <c r="AV94" s="21"/>
      <c r="AW94" s="46"/>
    </row>
    <row r="95" spans="2:49">
      <c r="B95" s="37">
        <v>89</v>
      </c>
      <c r="C95" s="38" t="s">
        <v>945</v>
      </c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 t="s">
        <v>836</v>
      </c>
      <c r="O95" s="60" t="s">
        <v>946</v>
      </c>
      <c r="P95" s="37"/>
      <c r="Q95" s="37"/>
      <c r="R95" s="37"/>
      <c r="S95" s="37"/>
      <c r="T95" s="44">
        <v>18</v>
      </c>
      <c r="U95" s="37"/>
      <c r="V95" s="37" t="s">
        <v>838</v>
      </c>
      <c r="W95" s="37"/>
      <c r="X95" s="37"/>
      <c r="Y95" s="39"/>
      <c r="Z95" s="39"/>
      <c r="AA95" s="39"/>
      <c r="AB95" s="39"/>
      <c r="AC95" s="37" t="s">
        <v>19</v>
      </c>
      <c r="AD95" s="37"/>
      <c r="AE95" s="37"/>
      <c r="AF95" s="37" t="s">
        <v>925</v>
      </c>
      <c r="AG95" s="37" t="s">
        <v>856</v>
      </c>
      <c r="AH95" s="37"/>
      <c r="AI95" s="37" t="s">
        <v>25</v>
      </c>
      <c r="AJ95" s="21"/>
      <c r="AK95" s="45">
        <v>0</v>
      </c>
      <c r="AL95" s="40">
        <v>0</v>
      </c>
      <c r="AM95" s="41">
        <v>0</v>
      </c>
      <c r="AN95" s="45">
        <f t="shared" si="8"/>
        <v>0</v>
      </c>
      <c r="AO95" s="42"/>
      <c r="AP95" s="45">
        <v>0</v>
      </c>
      <c r="AQ95" s="40">
        <f t="shared" si="9"/>
        <v>0</v>
      </c>
      <c r="AR95" s="40">
        <f t="shared" si="10"/>
        <v>0</v>
      </c>
      <c r="AS95" s="40">
        <v>0</v>
      </c>
      <c r="AT95" s="40">
        <v>0</v>
      </c>
      <c r="AU95" s="40">
        <f t="shared" si="11"/>
        <v>0</v>
      </c>
      <c r="AV95" s="22"/>
      <c r="AW95" s="43"/>
    </row>
    <row r="96" spans="2:49">
      <c r="B96" s="37">
        <v>90</v>
      </c>
      <c r="C96" s="38" t="s">
        <v>947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 t="s">
        <v>836</v>
      </c>
      <c r="O96" s="60" t="s">
        <v>948</v>
      </c>
      <c r="P96" s="132">
        <v>998248120</v>
      </c>
      <c r="Q96" s="37"/>
      <c r="R96" s="132" t="s">
        <v>949</v>
      </c>
      <c r="S96" s="37"/>
      <c r="T96" s="44">
        <v>15</v>
      </c>
      <c r="U96" s="37"/>
      <c r="V96" s="37" t="s">
        <v>838</v>
      </c>
      <c r="W96" s="37"/>
      <c r="X96" s="37"/>
      <c r="Y96" s="39"/>
      <c r="Z96" s="39"/>
      <c r="AA96" s="39"/>
      <c r="AB96" s="39"/>
      <c r="AC96" s="37" t="s">
        <v>19</v>
      </c>
      <c r="AD96" s="37"/>
      <c r="AE96" s="37"/>
      <c r="AF96" s="37" t="s">
        <v>702</v>
      </c>
      <c r="AG96" s="37" t="s">
        <v>841</v>
      </c>
      <c r="AH96" s="37"/>
      <c r="AI96" s="37" t="s">
        <v>32</v>
      </c>
      <c r="AJ96" s="21"/>
      <c r="AK96" s="45">
        <v>0</v>
      </c>
      <c r="AL96" s="40">
        <v>0</v>
      </c>
      <c r="AM96" s="41">
        <v>0</v>
      </c>
      <c r="AN96" s="45">
        <f t="shared" si="8"/>
        <v>0</v>
      </c>
      <c r="AO96" s="42"/>
      <c r="AP96" s="45">
        <v>0</v>
      </c>
      <c r="AQ96" s="40">
        <f t="shared" si="9"/>
        <v>0</v>
      </c>
      <c r="AR96" s="40">
        <f t="shared" si="10"/>
        <v>0</v>
      </c>
      <c r="AS96" s="40">
        <v>0</v>
      </c>
      <c r="AT96" s="40">
        <v>0</v>
      </c>
      <c r="AU96" s="40">
        <f t="shared" si="11"/>
        <v>0</v>
      </c>
      <c r="AV96" s="21"/>
      <c r="AW96" s="46"/>
    </row>
    <row r="97" spans="2:49">
      <c r="B97" s="37">
        <v>91</v>
      </c>
      <c r="C97" s="38" t="s">
        <v>950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 t="s">
        <v>836</v>
      </c>
      <c r="O97" s="37">
        <v>40012522</v>
      </c>
      <c r="P97" s="37"/>
      <c r="Q97" s="37"/>
      <c r="R97" s="37"/>
      <c r="S97" s="37"/>
      <c r="T97" s="44">
        <v>10</v>
      </c>
      <c r="U97" s="37"/>
      <c r="V97" s="37" t="s">
        <v>838</v>
      </c>
      <c r="W97" s="37"/>
      <c r="X97" s="37"/>
      <c r="Y97" s="39"/>
      <c r="Z97" s="39"/>
      <c r="AA97" s="39"/>
      <c r="AB97" s="39"/>
      <c r="AC97" s="37" t="s">
        <v>19</v>
      </c>
      <c r="AD97" s="37"/>
      <c r="AE97" s="37"/>
      <c r="AF97" s="37" t="s">
        <v>702</v>
      </c>
      <c r="AG97" s="37" t="s">
        <v>841</v>
      </c>
      <c r="AH97" s="37"/>
      <c r="AI97" s="37" t="s">
        <v>32</v>
      </c>
      <c r="AJ97" s="21"/>
      <c r="AK97" s="45">
        <v>0</v>
      </c>
      <c r="AL97" s="40">
        <v>0</v>
      </c>
      <c r="AM97" s="41">
        <v>0</v>
      </c>
      <c r="AN97" s="45">
        <f t="shared" si="8"/>
        <v>0</v>
      </c>
      <c r="AO97" s="42"/>
      <c r="AP97" s="45">
        <v>0</v>
      </c>
      <c r="AQ97" s="40">
        <f t="shared" si="9"/>
        <v>0</v>
      </c>
      <c r="AR97" s="40">
        <f t="shared" si="10"/>
        <v>0</v>
      </c>
      <c r="AS97" s="40">
        <v>0</v>
      </c>
      <c r="AT97" s="40">
        <v>0</v>
      </c>
      <c r="AU97" s="40">
        <f t="shared" si="11"/>
        <v>0</v>
      </c>
      <c r="AV97" s="22"/>
      <c r="AW97" s="43"/>
    </row>
    <row r="98" spans="2:49">
      <c r="B98" s="37">
        <v>92</v>
      </c>
      <c r="C98" s="38" t="s">
        <v>951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 t="s">
        <v>836</v>
      </c>
      <c r="O98" s="37" t="s">
        <v>952</v>
      </c>
      <c r="P98" s="37"/>
      <c r="Q98" s="37"/>
      <c r="R98" s="37"/>
      <c r="S98" s="37"/>
      <c r="T98" s="44">
        <v>14</v>
      </c>
      <c r="U98" s="37"/>
      <c r="V98" s="37" t="s">
        <v>838</v>
      </c>
      <c r="W98" s="37"/>
      <c r="X98" s="37"/>
      <c r="Y98" s="39"/>
      <c r="Z98" s="39"/>
      <c r="AA98" s="39"/>
      <c r="AB98" s="39"/>
      <c r="AC98" s="37" t="s">
        <v>40</v>
      </c>
      <c r="AD98" s="37"/>
      <c r="AE98" s="37"/>
      <c r="AF98" s="37" t="s">
        <v>679</v>
      </c>
      <c r="AG98" s="37" t="s">
        <v>841</v>
      </c>
      <c r="AH98" s="37"/>
      <c r="AI98" s="37" t="s">
        <v>25</v>
      </c>
      <c r="AJ98" s="21"/>
      <c r="AK98" s="45">
        <v>0</v>
      </c>
      <c r="AL98" s="40">
        <v>0</v>
      </c>
      <c r="AM98" s="41">
        <v>0</v>
      </c>
      <c r="AN98" s="45">
        <f t="shared" si="8"/>
        <v>0</v>
      </c>
      <c r="AO98" s="42"/>
      <c r="AP98" s="45">
        <v>0</v>
      </c>
      <c r="AQ98" s="40">
        <f t="shared" si="9"/>
        <v>0</v>
      </c>
      <c r="AR98" s="40">
        <f t="shared" si="10"/>
        <v>0</v>
      </c>
      <c r="AS98" s="40">
        <v>0</v>
      </c>
      <c r="AT98" s="40">
        <v>0</v>
      </c>
      <c r="AU98" s="40">
        <f t="shared" si="11"/>
        <v>0</v>
      </c>
      <c r="AV98" s="21"/>
      <c r="AW98" s="46"/>
    </row>
    <row r="99" spans="2:49">
      <c r="B99" s="37">
        <v>93</v>
      </c>
      <c r="C99" s="38" t="s">
        <v>953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 t="s">
        <v>836</v>
      </c>
      <c r="O99" s="37">
        <v>21576727</v>
      </c>
      <c r="P99" s="37">
        <v>956927698</v>
      </c>
      <c r="Q99" s="37" t="s">
        <v>954</v>
      </c>
      <c r="R99" s="37" t="s">
        <v>955</v>
      </c>
      <c r="S99" s="37"/>
      <c r="T99" s="44">
        <v>12</v>
      </c>
      <c r="U99" s="37"/>
      <c r="V99" s="37" t="s">
        <v>838</v>
      </c>
      <c r="W99" s="37"/>
      <c r="X99" s="37"/>
      <c r="Y99" s="39"/>
      <c r="Z99" s="39"/>
      <c r="AA99" s="39"/>
      <c r="AB99" s="39"/>
      <c r="AC99" s="37" t="s">
        <v>19</v>
      </c>
      <c r="AD99" s="37"/>
      <c r="AE99" s="37"/>
      <c r="AF99" s="37" t="s">
        <v>728</v>
      </c>
      <c r="AG99" s="37" t="s">
        <v>856</v>
      </c>
      <c r="AH99" s="37"/>
      <c r="AI99" s="37" t="s">
        <v>20</v>
      </c>
      <c r="AJ99" s="21"/>
      <c r="AK99" s="45">
        <v>0</v>
      </c>
      <c r="AL99" s="40">
        <v>0</v>
      </c>
      <c r="AM99" s="41">
        <v>0</v>
      </c>
      <c r="AN99" s="45">
        <f t="shared" si="8"/>
        <v>0</v>
      </c>
      <c r="AO99" s="42"/>
      <c r="AP99" s="45">
        <v>0</v>
      </c>
      <c r="AQ99" s="40">
        <f t="shared" si="9"/>
        <v>0</v>
      </c>
      <c r="AR99" s="40">
        <f t="shared" si="10"/>
        <v>0</v>
      </c>
      <c r="AS99" s="40">
        <v>0</v>
      </c>
      <c r="AT99" s="40">
        <v>0</v>
      </c>
      <c r="AU99" s="40">
        <f t="shared" si="11"/>
        <v>0</v>
      </c>
      <c r="AV99" s="22"/>
      <c r="AW99" s="43"/>
    </row>
    <row r="100" spans="2:49">
      <c r="B100" s="37">
        <v>94</v>
      </c>
      <c r="C100" s="38" t="s">
        <v>956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 t="s">
        <v>836</v>
      </c>
      <c r="O100" s="37">
        <v>21854029</v>
      </c>
      <c r="P100" s="132">
        <v>975512116</v>
      </c>
      <c r="Q100" s="37"/>
      <c r="R100" s="132" t="s">
        <v>957</v>
      </c>
      <c r="S100" s="37"/>
      <c r="T100" s="44">
        <v>16</v>
      </c>
      <c r="U100" s="37"/>
      <c r="V100" s="37" t="s">
        <v>838</v>
      </c>
      <c r="W100" s="37"/>
      <c r="X100" s="37"/>
      <c r="Y100" s="39"/>
      <c r="Z100" s="39"/>
      <c r="AA100" s="39"/>
      <c r="AB100" s="39"/>
      <c r="AC100" s="37" t="s">
        <v>19</v>
      </c>
      <c r="AD100" s="37"/>
      <c r="AE100" s="37"/>
      <c r="AF100" s="37" t="s">
        <v>702</v>
      </c>
      <c r="AG100" s="37" t="s">
        <v>841</v>
      </c>
      <c r="AH100" s="37"/>
      <c r="AI100" s="37" t="s">
        <v>41</v>
      </c>
      <c r="AJ100" s="21"/>
      <c r="AK100" s="45">
        <v>0</v>
      </c>
      <c r="AL100" s="40">
        <v>0</v>
      </c>
      <c r="AM100" s="41">
        <v>0</v>
      </c>
      <c r="AN100" s="45">
        <f t="shared" si="8"/>
        <v>0</v>
      </c>
      <c r="AO100" s="42"/>
      <c r="AP100" s="45">
        <v>0</v>
      </c>
      <c r="AQ100" s="40">
        <f t="shared" si="9"/>
        <v>0</v>
      </c>
      <c r="AR100" s="40">
        <f t="shared" si="10"/>
        <v>0</v>
      </c>
      <c r="AS100" s="40">
        <v>0</v>
      </c>
      <c r="AT100" s="40">
        <v>0</v>
      </c>
      <c r="AU100" s="40">
        <f t="shared" si="11"/>
        <v>0</v>
      </c>
      <c r="AV100" s="21"/>
      <c r="AW100" s="46"/>
    </row>
    <row r="101" spans="2:49">
      <c r="B101" s="37">
        <v>95</v>
      </c>
      <c r="C101" s="38" t="s">
        <v>958</v>
      </c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 t="s">
        <v>836</v>
      </c>
      <c r="O101" s="37">
        <v>21505996</v>
      </c>
      <c r="P101" s="37"/>
      <c r="Q101" s="37"/>
      <c r="R101" s="37"/>
      <c r="S101" s="37"/>
      <c r="T101" s="44">
        <v>14</v>
      </c>
      <c r="U101" s="37"/>
      <c r="V101" s="37" t="s">
        <v>838</v>
      </c>
      <c r="W101" s="37"/>
      <c r="X101" s="37"/>
      <c r="Y101" s="39"/>
      <c r="Z101" s="39"/>
      <c r="AA101" s="39"/>
      <c r="AB101" s="39"/>
      <c r="AC101" s="37" t="s">
        <v>19</v>
      </c>
      <c r="AD101" s="37"/>
      <c r="AE101" s="37"/>
      <c r="AF101" s="37" t="s">
        <v>673</v>
      </c>
      <c r="AG101" s="37" t="s">
        <v>841</v>
      </c>
      <c r="AH101" s="37"/>
      <c r="AI101" s="37" t="s">
        <v>20</v>
      </c>
      <c r="AJ101" s="21"/>
      <c r="AK101" s="45">
        <v>0</v>
      </c>
      <c r="AL101" s="40">
        <v>0</v>
      </c>
      <c r="AM101" s="41">
        <v>0</v>
      </c>
      <c r="AN101" s="45">
        <f t="shared" si="8"/>
        <v>0</v>
      </c>
      <c r="AO101" s="42"/>
      <c r="AP101" s="45">
        <v>0</v>
      </c>
      <c r="AQ101" s="40">
        <f t="shared" si="9"/>
        <v>0</v>
      </c>
      <c r="AR101" s="40">
        <f t="shared" si="10"/>
        <v>0</v>
      </c>
      <c r="AS101" s="40">
        <v>0</v>
      </c>
      <c r="AT101" s="40">
        <v>0</v>
      </c>
      <c r="AU101" s="40">
        <f t="shared" si="11"/>
        <v>0</v>
      </c>
      <c r="AV101" s="22"/>
      <c r="AW101" s="43"/>
    </row>
    <row r="102" spans="2:49">
      <c r="B102" s="37">
        <v>96</v>
      </c>
      <c r="C102" s="38" t="s">
        <v>959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 t="s">
        <v>836</v>
      </c>
      <c r="O102" s="37">
        <v>44296086</v>
      </c>
      <c r="P102" s="37"/>
      <c r="Q102" s="37"/>
      <c r="R102" s="37"/>
      <c r="S102" s="37"/>
      <c r="T102" s="44">
        <v>12</v>
      </c>
      <c r="U102" s="37"/>
      <c r="V102" s="37" t="s">
        <v>838</v>
      </c>
      <c r="W102" s="37"/>
      <c r="X102" s="37"/>
      <c r="Y102" s="39"/>
      <c r="Z102" s="39"/>
      <c r="AA102" s="39"/>
      <c r="AB102" s="39"/>
      <c r="AC102" s="37" t="s">
        <v>19</v>
      </c>
      <c r="AD102" s="37"/>
      <c r="AE102" s="37"/>
      <c r="AF102" s="37" t="s">
        <v>679</v>
      </c>
      <c r="AG102" s="37" t="s">
        <v>841</v>
      </c>
      <c r="AH102" s="37"/>
      <c r="AI102" s="37" t="s">
        <v>20</v>
      </c>
      <c r="AJ102" s="21"/>
      <c r="AK102" s="45">
        <v>0</v>
      </c>
      <c r="AL102" s="40">
        <v>0</v>
      </c>
      <c r="AM102" s="41">
        <v>0</v>
      </c>
      <c r="AN102" s="45">
        <f t="shared" si="8"/>
        <v>0</v>
      </c>
      <c r="AO102" s="42"/>
      <c r="AP102" s="45">
        <v>0</v>
      </c>
      <c r="AQ102" s="40">
        <f t="shared" si="9"/>
        <v>0</v>
      </c>
      <c r="AR102" s="40">
        <f t="shared" si="10"/>
        <v>0</v>
      </c>
      <c r="AS102" s="40">
        <v>0</v>
      </c>
      <c r="AT102" s="40">
        <v>0</v>
      </c>
      <c r="AU102" s="40">
        <f t="shared" si="11"/>
        <v>0</v>
      </c>
      <c r="AV102" s="21"/>
      <c r="AW102" s="46"/>
    </row>
    <row r="103" spans="2:49">
      <c r="B103" s="37">
        <v>97</v>
      </c>
      <c r="C103" s="38" t="s">
        <v>960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 t="s">
        <v>836</v>
      </c>
      <c r="O103" s="37">
        <v>44579560</v>
      </c>
      <c r="P103" s="37"/>
      <c r="Q103" s="37"/>
      <c r="R103" s="37"/>
      <c r="S103" s="37"/>
      <c r="T103" s="44">
        <v>35</v>
      </c>
      <c r="U103" s="37"/>
      <c r="V103" s="37" t="s">
        <v>845</v>
      </c>
      <c r="W103" s="37"/>
      <c r="X103" s="37"/>
      <c r="Y103" s="39"/>
      <c r="Z103" s="39"/>
      <c r="AA103" s="39"/>
      <c r="AB103" s="39"/>
      <c r="AC103" s="37" t="s">
        <v>40</v>
      </c>
      <c r="AD103" s="37"/>
      <c r="AE103" s="37"/>
      <c r="AF103" s="37" t="s">
        <v>679</v>
      </c>
      <c r="AG103" s="37" t="s">
        <v>841</v>
      </c>
      <c r="AH103" s="37"/>
      <c r="AI103" s="37" t="s">
        <v>20</v>
      </c>
      <c r="AJ103" s="21"/>
      <c r="AK103" s="45">
        <v>0</v>
      </c>
      <c r="AL103" s="40">
        <v>0</v>
      </c>
      <c r="AM103" s="41">
        <v>0</v>
      </c>
      <c r="AN103" s="45">
        <f t="shared" si="8"/>
        <v>0</v>
      </c>
      <c r="AO103" s="42"/>
      <c r="AP103" s="45">
        <v>0</v>
      </c>
      <c r="AQ103" s="40">
        <f t="shared" si="9"/>
        <v>0</v>
      </c>
      <c r="AR103" s="40">
        <f t="shared" si="10"/>
        <v>0</v>
      </c>
      <c r="AS103" s="40">
        <v>0</v>
      </c>
      <c r="AT103" s="40">
        <v>0</v>
      </c>
      <c r="AU103" s="40">
        <f t="shared" si="11"/>
        <v>0</v>
      </c>
      <c r="AV103" s="22"/>
      <c r="AW103" s="43"/>
    </row>
    <row r="104" spans="2:49">
      <c r="B104" s="37">
        <v>98</v>
      </c>
      <c r="C104" s="38" t="s">
        <v>961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 t="s">
        <v>836</v>
      </c>
      <c r="O104" s="37">
        <v>44113156</v>
      </c>
      <c r="P104" s="132">
        <v>983691933</v>
      </c>
      <c r="Q104" s="37"/>
      <c r="R104" s="132" t="s">
        <v>962</v>
      </c>
      <c r="S104" s="37"/>
      <c r="T104" s="44">
        <v>18</v>
      </c>
      <c r="U104" s="37"/>
      <c r="V104" s="37" t="s">
        <v>838</v>
      </c>
      <c r="W104" s="37"/>
      <c r="X104" s="37"/>
      <c r="Y104" s="39"/>
      <c r="Z104" s="39"/>
      <c r="AA104" s="39"/>
      <c r="AB104" s="39"/>
      <c r="AC104" s="37" t="s">
        <v>19</v>
      </c>
      <c r="AD104" s="37"/>
      <c r="AE104" s="37"/>
      <c r="AF104" s="37" t="s">
        <v>771</v>
      </c>
      <c r="AG104" s="37" t="s">
        <v>841</v>
      </c>
      <c r="AH104" s="37"/>
      <c r="AI104" s="37" t="s">
        <v>32</v>
      </c>
      <c r="AJ104" s="21"/>
      <c r="AK104" s="45">
        <v>0</v>
      </c>
      <c r="AL104" s="40">
        <v>0</v>
      </c>
      <c r="AM104" s="41">
        <v>0</v>
      </c>
      <c r="AN104" s="45">
        <f t="shared" si="8"/>
        <v>0</v>
      </c>
      <c r="AO104" s="42"/>
      <c r="AP104" s="45">
        <v>0</v>
      </c>
      <c r="AQ104" s="40">
        <f t="shared" si="9"/>
        <v>0</v>
      </c>
      <c r="AR104" s="40">
        <f t="shared" si="10"/>
        <v>0</v>
      </c>
      <c r="AS104" s="40">
        <v>0</v>
      </c>
      <c r="AT104" s="40">
        <v>0</v>
      </c>
      <c r="AU104" s="40">
        <f t="shared" si="11"/>
        <v>0</v>
      </c>
      <c r="AV104" s="21"/>
      <c r="AW104" s="46"/>
    </row>
    <row r="105" spans="2:49">
      <c r="B105" s="37">
        <v>99</v>
      </c>
      <c r="C105" s="38" t="s">
        <v>963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 t="s">
        <v>836</v>
      </c>
      <c r="O105" s="37">
        <v>16719199</v>
      </c>
      <c r="P105" s="132">
        <v>976963864</v>
      </c>
      <c r="Q105" s="37"/>
      <c r="R105" s="132" t="s">
        <v>964</v>
      </c>
      <c r="S105" s="37"/>
      <c r="T105" s="44">
        <v>19</v>
      </c>
      <c r="U105" s="37"/>
      <c r="V105" s="37" t="s">
        <v>838</v>
      </c>
      <c r="W105" s="37"/>
      <c r="X105" s="37"/>
      <c r="Y105" s="39"/>
      <c r="Z105" s="39"/>
      <c r="AA105" s="39"/>
      <c r="AB105" s="39"/>
      <c r="AC105" s="37" t="s">
        <v>19</v>
      </c>
      <c r="AD105" s="37"/>
      <c r="AE105" s="37"/>
      <c r="AF105" s="37" t="s">
        <v>702</v>
      </c>
      <c r="AG105" s="37" t="s">
        <v>841</v>
      </c>
      <c r="AH105" s="37"/>
      <c r="AI105" s="37" t="s">
        <v>41</v>
      </c>
      <c r="AJ105" s="21"/>
      <c r="AK105" s="45">
        <v>0</v>
      </c>
      <c r="AL105" s="40">
        <v>0</v>
      </c>
      <c r="AM105" s="41">
        <v>0</v>
      </c>
      <c r="AN105" s="45">
        <f t="shared" si="8"/>
        <v>0</v>
      </c>
      <c r="AO105" s="42"/>
      <c r="AP105" s="45">
        <v>0</v>
      </c>
      <c r="AQ105" s="40">
        <f t="shared" si="9"/>
        <v>0</v>
      </c>
      <c r="AR105" s="40">
        <f t="shared" si="10"/>
        <v>0</v>
      </c>
      <c r="AS105" s="40">
        <v>0</v>
      </c>
      <c r="AT105" s="40">
        <v>0</v>
      </c>
      <c r="AU105" s="40">
        <f t="shared" si="11"/>
        <v>0</v>
      </c>
      <c r="AV105" s="22"/>
      <c r="AW105" s="43"/>
    </row>
    <row r="106" spans="2:49">
      <c r="B106" s="37">
        <v>100</v>
      </c>
      <c r="C106" s="38" t="s">
        <v>965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 t="s">
        <v>836</v>
      </c>
      <c r="O106" s="37">
        <v>22319279</v>
      </c>
      <c r="P106" s="37">
        <v>922178300</v>
      </c>
      <c r="Q106" s="37" t="s">
        <v>966</v>
      </c>
      <c r="R106" s="37" t="s">
        <v>967</v>
      </c>
      <c r="S106" s="37"/>
      <c r="T106" s="44">
        <v>17</v>
      </c>
      <c r="U106" s="37"/>
      <c r="V106" s="37" t="s">
        <v>838</v>
      </c>
      <c r="W106" s="37"/>
      <c r="X106" s="37"/>
      <c r="Y106" s="39"/>
      <c r="Z106" s="39"/>
      <c r="AA106" s="39"/>
      <c r="AB106" s="39"/>
      <c r="AC106" s="37" t="s">
        <v>19</v>
      </c>
      <c r="AD106" s="37"/>
      <c r="AE106" s="37"/>
      <c r="AF106" s="37" t="s">
        <v>728</v>
      </c>
      <c r="AG106" s="37" t="s">
        <v>841</v>
      </c>
      <c r="AH106" s="37"/>
      <c r="AI106" s="37" t="s">
        <v>20</v>
      </c>
      <c r="AJ106" s="21"/>
      <c r="AK106" s="45">
        <v>0</v>
      </c>
      <c r="AL106" s="40">
        <v>0</v>
      </c>
      <c r="AM106" s="41">
        <v>0</v>
      </c>
      <c r="AN106" s="45">
        <f t="shared" si="8"/>
        <v>0</v>
      </c>
      <c r="AO106" s="42"/>
      <c r="AP106" s="45">
        <v>0</v>
      </c>
      <c r="AQ106" s="40">
        <f t="shared" si="9"/>
        <v>0</v>
      </c>
      <c r="AR106" s="40">
        <f t="shared" si="10"/>
        <v>0</v>
      </c>
      <c r="AS106" s="40">
        <v>0</v>
      </c>
      <c r="AT106" s="40">
        <v>0</v>
      </c>
      <c r="AU106" s="40">
        <f t="shared" si="11"/>
        <v>0</v>
      </c>
      <c r="AV106" s="21"/>
      <c r="AW106" s="46"/>
    </row>
    <row r="107" spans="2:49">
      <c r="B107" s="37">
        <v>101</v>
      </c>
      <c r="C107" s="38" t="s">
        <v>968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 t="s">
        <v>836</v>
      </c>
      <c r="O107" s="37">
        <v>70270373</v>
      </c>
      <c r="P107" s="37"/>
      <c r="Q107" s="37"/>
      <c r="R107" s="37"/>
      <c r="S107" s="37"/>
      <c r="T107" s="44">
        <v>15</v>
      </c>
      <c r="U107" s="37"/>
      <c r="V107" s="37" t="s">
        <v>838</v>
      </c>
      <c r="W107" s="37"/>
      <c r="X107" s="37"/>
      <c r="Y107" s="39"/>
      <c r="Z107" s="39"/>
      <c r="AA107" s="39"/>
      <c r="AB107" s="39"/>
      <c r="AC107" s="37" t="s">
        <v>40</v>
      </c>
      <c r="AD107" s="37"/>
      <c r="AE107" s="37"/>
      <c r="AF107" s="37" t="s">
        <v>710</v>
      </c>
      <c r="AG107" s="37" t="s">
        <v>841</v>
      </c>
      <c r="AH107" s="37"/>
      <c r="AI107" s="37" t="s">
        <v>32</v>
      </c>
      <c r="AJ107" s="21"/>
      <c r="AK107" s="45">
        <v>0</v>
      </c>
      <c r="AL107" s="40">
        <v>0</v>
      </c>
      <c r="AM107" s="41">
        <v>0</v>
      </c>
      <c r="AN107" s="45">
        <f t="shared" si="8"/>
        <v>0</v>
      </c>
      <c r="AO107" s="42"/>
      <c r="AP107" s="45">
        <v>0</v>
      </c>
      <c r="AQ107" s="40">
        <f t="shared" si="9"/>
        <v>0</v>
      </c>
      <c r="AR107" s="40">
        <f t="shared" si="10"/>
        <v>0</v>
      </c>
      <c r="AS107" s="40">
        <v>0</v>
      </c>
      <c r="AT107" s="40">
        <v>0</v>
      </c>
      <c r="AU107" s="40">
        <f t="shared" si="11"/>
        <v>0</v>
      </c>
      <c r="AV107" s="22"/>
      <c r="AW107" s="43"/>
    </row>
    <row r="108" spans="2:49">
      <c r="B108" s="37">
        <v>102</v>
      </c>
      <c r="C108" s="38" t="s">
        <v>969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 t="s">
        <v>836</v>
      </c>
      <c r="O108" s="37">
        <v>21406933</v>
      </c>
      <c r="P108" s="37"/>
      <c r="Q108" s="37"/>
      <c r="R108" s="37"/>
      <c r="S108" s="37"/>
      <c r="T108" s="44">
        <v>16</v>
      </c>
      <c r="U108" s="37"/>
      <c r="V108" s="37" t="s">
        <v>838</v>
      </c>
      <c r="W108" s="37"/>
      <c r="X108" s="37"/>
      <c r="Y108" s="39"/>
      <c r="Z108" s="39"/>
      <c r="AA108" s="39"/>
      <c r="AB108" s="39"/>
      <c r="AC108" s="37" t="s">
        <v>40</v>
      </c>
      <c r="AD108" s="37"/>
      <c r="AE108" s="37"/>
      <c r="AF108" s="37" t="s">
        <v>673</v>
      </c>
      <c r="AG108" s="37" t="s">
        <v>856</v>
      </c>
      <c r="AH108" s="37"/>
      <c r="AI108" s="37" t="s">
        <v>25</v>
      </c>
      <c r="AJ108" s="21"/>
      <c r="AK108" s="45">
        <v>0</v>
      </c>
      <c r="AL108" s="40">
        <v>0</v>
      </c>
      <c r="AM108" s="41">
        <v>0</v>
      </c>
      <c r="AN108" s="45">
        <f t="shared" ref="AN108:AN154" si="12">AK108+AL108+AM108</f>
        <v>0</v>
      </c>
      <c r="AO108" s="42"/>
      <c r="AP108" s="45">
        <v>0</v>
      </c>
      <c r="AQ108" s="40">
        <f t="shared" ref="AQ108:AQ154" si="13">AP108*T108</f>
        <v>0</v>
      </c>
      <c r="AR108" s="40">
        <f t="shared" ref="AR108:AR154" si="14">AQ108*4</f>
        <v>0</v>
      </c>
      <c r="AS108" s="40">
        <v>0</v>
      </c>
      <c r="AT108" s="40">
        <v>0</v>
      </c>
      <c r="AU108" s="40">
        <f t="shared" ref="AU108:AU154" si="15">AR108+AS108+AT108</f>
        <v>0</v>
      </c>
      <c r="AV108" s="21"/>
      <c r="AW108" s="46"/>
    </row>
    <row r="109" spans="2:49">
      <c r="B109" s="37">
        <v>103</v>
      </c>
      <c r="C109" s="38" t="s">
        <v>791</v>
      </c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 t="s">
        <v>836</v>
      </c>
      <c r="O109" s="37">
        <v>42679183</v>
      </c>
      <c r="P109" s="37"/>
      <c r="Q109" s="37"/>
      <c r="R109" s="37"/>
      <c r="S109" s="37"/>
      <c r="T109" s="44">
        <v>18</v>
      </c>
      <c r="U109" s="37"/>
      <c r="V109" s="37" t="s">
        <v>838</v>
      </c>
      <c r="W109" s="37"/>
      <c r="X109" s="37"/>
      <c r="Y109" s="39"/>
      <c r="Z109" s="39"/>
      <c r="AA109" s="39"/>
      <c r="AB109" s="39"/>
      <c r="AC109" s="37" t="s">
        <v>19</v>
      </c>
      <c r="AD109" s="37"/>
      <c r="AE109" s="37"/>
      <c r="AF109" s="37" t="s">
        <v>771</v>
      </c>
      <c r="AG109" s="37" t="s">
        <v>841</v>
      </c>
      <c r="AH109" s="37"/>
      <c r="AI109" s="37" t="s">
        <v>32</v>
      </c>
      <c r="AJ109" s="21"/>
      <c r="AK109" s="45">
        <v>0</v>
      </c>
      <c r="AL109" s="40">
        <v>0</v>
      </c>
      <c r="AM109" s="41">
        <v>0</v>
      </c>
      <c r="AN109" s="45">
        <f t="shared" si="12"/>
        <v>0</v>
      </c>
      <c r="AO109" s="42"/>
      <c r="AP109" s="45">
        <v>0</v>
      </c>
      <c r="AQ109" s="40">
        <f t="shared" si="13"/>
        <v>0</v>
      </c>
      <c r="AR109" s="40">
        <f t="shared" si="14"/>
        <v>0</v>
      </c>
      <c r="AS109" s="40">
        <v>0</v>
      </c>
      <c r="AT109" s="40">
        <v>0</v>
      </c>
      <c r="AU109" s="40">
        <f t="shared" si="15"/>
        <v>0</v>
      </c>
      <c r="AV109" s="22"/>
      <c r="AW109" s="43"/>
    </row>
    <row r="110" spans="2:49">
      <c r="B110" s="37">
        <v>104</v>
      </c>
      <c r="C110" s="38" t="s">
        <v>970</v>
      </c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 t="s">
        <v>836</v>
      </c>
      <c r="O110" s="37">
        <v>41248557</v>
      </c>
      <c r="P110" s="37">
        <v>957459117</v>
      </c>
      <c r="Q110" s="37" t="s">
        <v>971</v>
      </c>
      <c r="R110" s="37" t="s">
        <v>972</v>
      </c>
      <c r="S110" s="37"/>
      <c r="T110" s="44">
        <v>8</v>
      </c>
      <c r="U110" s="37"/>
      <c r="V110" s="37" t="s">
        <v>838</v>
      </c>
      <c r="W110" s="37"/>
      <c r="X110" s="37"/>
      <c r="Y110" s="39"/>
      <c r="Z110" s="39"/>
      <c r="AA110" s="39"/>
      <c r="AB110" s="39"/>
      <c r="AC110" s="37" t="s">
        <v>19</v>
      </c>
      <c r="AD110" s="37"/>
      <c r="AE110" s="37"/>
      <c r="AF110" s="37" t="s">
        <v>728</v>
      </c>
      <c r="AG110" s="37" t="s">
        <v>856</v>
      </c>
      <c r="AH110" s="37"/>
      <c r="AI110" s="37" t="s">
        <v>20</v>
      </c>
      <c r="AJ110" s="21"/>
      <c r="AK110" s="45">
        <v>0</v>
      </c>
      <c r="AL110" s="40">
        <v>0</v>
      </c>
      <c r="AM110" s="41">
        <v>0</v>
      </c>
      <c r="AN110" s="45">
        <f t="shared" si="12"/>
        <v>0</v>
      </c>
      <c r="AO110" s="42"/>
      <c r="AP110" s="45">
        <v>0</v>
      </c>
      <c r="AQ110" s="40">
        <f t="shared" si="13"/>
        <v>0</v>
      </c>
      <c r="AR110" s="40">
        <f t="shared" si="14"/>
        <v>0</v>
      </c>
      <c r="AS110" s="40">
        <v>0</v>
      </c>
      <c r="AT110" s="40">
        <v>0</v>
      </c>
      <c r="AU110" s="40">
        <f t="shared" si="15"/>
        <v>0</v>
      </c>
      <c r="AV110" s="21"/>
      <c r="AW110" s="46"/>
    </row>
    <row r="111" spans="2:49">
      <c r="B111" s="37">
        <v>105</v>
      </c>
      <c r="C111" s="38" t="s">
        <v>973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 t="s">
        <v>836</v>
      </c>
      <c r="O111" s="37">
        <v>46198443</v>
      </c>
      <c r="P111" s="37"/>
      <c r="Q111" s="37"/>
      <c r="R111" s="37"/>
      <c r="S111" s="37"/>
      <c r="T111" s="44">
        <v>16</v>
      </c>
      <c r="U111" s="37"/>
      <c r="V111" s="37" t="s">
        <v>838</v>
      </c>
      <c r="W111" s="37"/>
      <c r="X111" s="37"/>
      <c r="Y111" s="39"/>
      <c r="Z111" s="39"/>
      <c r="AA111" s="39"/>
      <c r="AB111" s="39"/>
      <c r="AC111" s="37" t="s">
        <v>19</v>
      </c>
      <c r="AD111" s="37"/>
      <c r="AE111" s="37"/>
      <c r="AF111" s="37" t="s">
        <v>679</v>
      </c>
      <c r="AG111" s="37" t="s">
        <v>841</v>
      </c>
      <c r="AH111" s="37"/>
      <c r="AI111" s="37" t="s">
        <v>25</v>
      </c>
      <c r="AJ111" s="21"/>
      <c r="AK111" s="45">
        <v>0</v>
      </c>
      <c r="AL111" s="40">
        <v>0</v>
      </c>
      <c r="AM111" s="41">
        <v>0</v>
      </c>
      <c r="AN111" s="45">
        <f t="shared" si="12"/>
        <v>0</v>
      </c>
      <c r="AO111" s="42"/>
      <c r="AP111" s="45">
        <v>0</v>
      </c>
      <c r="AQ111" s="40">
        <f t="shared" si="13"/>
        <v>0</v>
      </c>
      <c r="AR111" s="40">
        <f t="shared" si="14"/>
        <v>0</v>
      </c>
      <c r="AS111" s="40">
        <v>0</v>
      </c>
      <c r="AT111" s="40">
        <v>0</v>
      </c>
      <c r="AU111" s="40">
        <f t="shared" si="15"/>
        <v>0</v>
      </c>
      <c r="AV111" s="22"/>
      <c r="AW111" s="43"/>
    </row>
    <row r="112" spans="2:49">
      <c r="B112" s="37">
        <v>106</v>
      </c>
      <c r="C112" s="38" t="s">
        <v>974</v>
      </c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 t="s">
        <v>836</v>
      </c>
      <c r="O112" s="37">
        <v>15421219</v>
      </c>
      <c r="P112" s="37">
        <v>934449329</v>
      </c>
      <c r="Q112" s="37" t="s">
        <v>975</v>
      </c>
      <c r="R112" s="37" t="s">
        <v>976</v>
      </c>
      <c r="S112" s="37"/>
      <c r="T112" s="44">
        <v>33</v>
      </c>
      <c r="U112" s="37"/>
      <c r="V112" s="37" t="s">
        <v>845</v>
      </c>
      <c r="W112" s="37"/>
      <c r="X112" s="37"/>
      <c r="Y112" s="39"/>
      <c r="Z112" s="39"/>
      <c r="AA112" s="39"/>
      <c r="AB112" s="39"/>
      <c r="AC112" s="37" t="s">
        <v>19</v>
      </c>
      <c r="AD112" s="37"/>
      <c r="AE112" s="37"/>
      <c r="AF112" s="37" t="s">
        <v>728</v>
      </c>
      <c r="AG112" s="37" t="s">
        <v>856</v>
      </c>
      <c r="AH112" s="37"/>
      <c r="AI112" s="37" t="s">
        <v>41</v>
      </c>
      <c r="AJ112" s="21"/>
      <c r="AK112" s="45">
        <v>0</v>
      </c>
      <c r="AL112" s="40">
        <v>0</v>
      </c>
      <c r="AM112" s="41">
        <v>0</v>
      </c>
      <c r="AN112" s="45">
        <f t="shared" si="12"/>
        <v>0</v>
      </c>
      <c r="AO112" s="42"/>
      <c r="AP112" s="45">
        <v>0</v>
      </c>
      <c r="AQ112" s="40">
        <f t="shared" si="13"/>
        <v>0</v>
      </c>
      <c r="AR112" s="40">
        <f t="shared" si="14"/>
        <v>0</v>
      </c>
      <c r="AS112" s="40">
        <v>0</v>
      </c>
      <c r="AT112" s="40">
        <v>0</v>
      </c>
      <c r="AU112" s="40">
        <f t="shared" si="15"/>
        <v>0</v>
      </c>
      <c r="AV112" s="21"/>
      <c r="AW112" s="46"/>
    </row>
    <row r="113" spans="2:49">
      <c r="B113" s="37">
        <v>107</v>
      </c>
      <c r="C113" s="38" t="s">
        <v>786</v>
      </c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 t="s">
        <v>836</v>
      </c>
      <c r="O113" s="37">
        <v>70073915</v>
      </c>
      <c r="P113" s="37"/>
      <c r="Q113" s="37"/>
      <c r="R113" s="37"/>
      <c r="S113" s="37"/>
      <c r="T113" s="44">
        <v>19</v>
      </c>
      <c r="U113" s="37"/>
      <c r="V113" s="37" t="s">
        <v>838</v>
      </c>
      <c r="W113" s="37"/>
      <c r="X113" s="37"/>
      <c r="Y113" s="39"/>
      <c r="Z113" s="39"/>
      <c r="AA113" s="39"/>
      <c r="AB113" s="39"/>
      <c r="AC113" s="37" t="s">
        <v>40</v>
      </c>
      <c r="AD113" s="37"/>
      <c r="AE113" s="37"/>
      <c r="AF113" s="37" t="s">
        <v>702</v>
      </c>
      <c r="AG113" s="37" t="s">
        <v>977</v>
      </c>
      <c r="AH113" s="37"/>
      <c r="AI113" s="37" t="s">
        <v>32</v>
      </c>
      <c r="AJ113" s="21"/>
      <c r="AK113" s="45">
        <v>0</v>
      </c>
      <c r="AL113" s="40">
        <v>0</v>
      </c>
      <c r="AM113" s="41">
        <v>0</v>
      </c>
      <c r="AN113" s="45">
        <f t="shared" si="12"/>
        <v>0</v>
      </c>
      <c r="AO113" s="42"/>
      <c r="AP113" s="45">
        <v>0</v>
      </c>
      <c r="AQ113" s="40">
        <f t="shared" si="13"/>
        <v>0</v>
      </c>
      <c r="AR113" s="40">
        <f t="shared" si="14"/>
        <v>0</v>
      </c>
      <c r="AS113" s="40">
        <v>0</v>
      </c>
      <c r="AT113" s="40">
        <v>0</v>
      </c>
      <c r="AU113" s="40">
        <f t="shared" si="15"/>
        <v>0</v>
      </c>
      <c r="AV113" s="22"/>
      <c r="AW113" s="43"/>
    </row>
    <row r="114" spans="2:49">
      <c r="B114" s="37">
        <v>108</v>
      </c>
      <c r="C114" s="38" t="s">
        <v>978</v>
      </c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 t="s">
        <v>836</v>
      </c>
      <c r="O114" s="37">
        <v>43338252</v>
      </c>
      <c r="P114" s="143">
        <v>920633853</v>
      </c>
      <c r="Q114" s="37"/>
      <c r="R114" s="132" t="s">
        <v>979</v>
      </c>
      <c r="S114" s="37"/>
      <c r="T114" s="44">
        <v>8</v>
      </c>
      <c r="U114" s="37"/>
      <c r="V114" s="37" t="s">
        <v>838</v>
      </c>
      <c r="W114" s="37"/>
      <c r="X114" s="37"/>
      <c r="Y114" s="39"/>
      <c r="Z114" s="39"/>
      <c r="AA114" s="39"/>
      <c r="AB114" s="39"/>
      <c r="AC114" s="37" t="s">
        <v>19</v>
      </c>
      <c r="AD114" s="37"/>
      <c r="AE114" s="37"/>
      <c r="AF114" s="37" t="s">
        <v>771</v>
      </c>
      <c r="AG114" s="37" t="s">
        <v>841</v>
      </c>
      <c r="AH114" s="37"/>
      <c r="AI114" s="37" t="s">
        <v>20</v>
      </c>
      <c r="AJ114" s="21"/>
      <c r="AK114" s="45">
        <v>0</v>
      </c>
      <c r="AL114" s="40">
        <v>0</v>
      </c>
      <c r="AM114" s="41">
        <v>0</v>
      </c>
      <c r="AN114" s="45">
        <f t="shared" si="12"/>
        <v>0</v>
      </c>
      <c r="AO114" s="42"/>
      <c r="AP114" s="45">
        <v>0</v>
      </c>
      <c r="AQ114" s="40">
        <f t="shared" si="13"/>
        <v>0</v>
      </c>
      <c r="AR114" s="40">
        <f t="shared" si="14"/>
        <v>0</v>
      </c>
      <c r="AS114" s="40">
        <v>0</v>
      </c>
      <c r="AT114" s="40">
        <v>0</v>
      </c>
      <c r="AU114" s="40">
        <f t="shared" si="15"/>
        <v>0</v>
      </c>
      <c r="AV114" s="21"/>
      <c r="AW114" s="46"/>
    </row>
    <row r="115" spans="2:49">
      <c r="B115" s="37">
        <v>109</v>
      </c>
      <c r="C115" s="38" t="s">
        <v>980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 t="s">
        <v>836</v>
      </c>
      <c r="O115" s="37">
        <v>21462443</v>
      </c>
      <c r="P115" s="143">
        <v>956320700</v>
      </c>
      <c r="Q115" s="143" t="s">
        <v>981</v>
      </c>
      <c r="R115" s="143" t="s">
        <v>982</v>
      </c>
      <c r="S115" s="37"/>
      <c r="T115" s="44">
        <v>13</v>
      </c>
      <c r="U115" s="37"/>
      <c r="V115" s="37" t="s">
        <v>838</v>
      </c>
      <c r="W115" s="37"/>
      <c r="X115" s="37"/>
      <c r="Y115" s="39"/>
      <c r="Z115" s="39"/>
      <c r="AA115" s="39"/>
      <c r="AB115" s="39"/>
      <c r="AC115" s="37" t="s">
        <v>40</v>
      </c>
      <c r="AD115" s="37"/>
      <c r="AE115" s="37"/>
      <c r="AF115" s="37" t="s">
        <v>739</v>
      </c>
      <c r="AG115" s="37" t="s">
        <v>856</v>
      </c>
      <c r="AH115" s="37"/>
      <c r="AI115" s="37" t="s">
        <v>20</v>
      </c>
      <c r="AJ115" s="21"/>
      <c r="AK115" s="45">
        <v>0</v>
      </c>
      <c r="AL115" s="40">
        <v>0</v>
      </c>
      <c r="AM115" s="41">
        <v>0</v>
      </c>
      <c r="AN115" s="45">
        <f t="shared" si="12"/>
        <v>0</v>
      </c>
      <c r="AO115" s="42"/>
      <c r="AP115" s="45">
        <v>0</v>
      </c>
      <c r="AQ115" s="40">
        <f t="shared" si="13"/>
        <v>0</v>
      </c>
      <c r="AR115" s="40">
        <f t="shared" si="14"/>
        <v>0</v>
      </c>
      <c r="AS115" s="40">
        <v>0</v>
      </c>
      <c r="AT115" s="40">
        <v>0</v>
      </c>
      <c r="AU115" s="40">
        <f t="shared" si="15"/>
        <v>0</v>
      </c>
      <c r="AV115" s="22"/>
      <c r="AW115" s="43"/>
    </row>
    <row r="116" spans="2:49">
      <c r="B116" s="37">
        <v>110</v>
      </c>
      <c r="C116" s="38" t="s">
        <v>983</v>
      </c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 t="s">
        <v>836</v>
      </c>
      <c r="O116" s="37">
        <v>21880139</v>
      </c>
      <c r="P116" s="132">
        <v>995164840</v>
      </c>
      <c r="Q116" s="37"/>
      <c r="R116" s="132" t="s">
        <v>984</v>
      </c>
      <c r="S116" s="37"/>
      <c r="T116" s="44">
        <v>34</v>
      </c>
      <c r="U116" s="37"/>
      <c r="V116" s="37" t="s">
        <v>845</v>
      </c>
      <c r="W116" s="37"/>
      <c r="X116" s="37"/>
      <c r="Y116" s="39"/>
      <c r="Z116" s="39"/>
      <c r="AA116" s="39"/>
      <c r="AB116" s="39"/>
      <c r="AC116" s="37" t="s">
        <v>19</v>
      </c>
      <c r="AD116" s="37"/>
      <c r="AE116" s="37"/>
      <c r="AF116" s="37" t="s">
        <v>702</v>
      </c>
      <c r="AG116" s="37" t="s">
        <v>841</v>
      </c>
      <c r="AH116" s="37"/>
      <c r="AI116" s="37" t="s">
        <v>32</v>
      </c>
      <c r="AJ116" s="21"/>
      <c r="AK116" s="45">
        <v>0</v>
      </c>
      <c r="AL116" s="40">
        <v>0</v>
      </c>
      <c r="AM116" s="41">
        <v>0</v>
      </c>
      <c r="AN116" s="45">
        <f t="shared" si="12"/>
        <v>0</v>
      </c>
      <c r="AO116" s="42"/>
      <c r="AP116" s="45">
        <v>0</v>
      </c>
      <c r="AQ116" s="40">
        <f t="shared" si="13"/>
        <v>0</v>
      </c>
      <c r="AR116" s="40">
        <f t="shared" si="14"/>
        <v>0</v>
      </c>
      <c r="AS116" s="40">
        <v>0</v>
      </c>
      <c r="AT116" s="40">
        <v>0</v>
      </c>
      <c r="AU116" s="40">
        <f t="shared" si="15"/>
        <v>0</v>
      </c>
      <c r="AV116" s="21"/>
      <c r="AW116" s="46"/>
    </row>
    <row r="117" spans="2:49">
      <c r="B117" s="37">
        <v>111</v>
      </c>
      <c r="C117" s="38" t="s">
        <v>787</v>
      </c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 t="s">
        <v>836</v>
      </c>
      <c r="O117" s="37">
        <v>40727418</v>
      </c>
      <c r="P117" s="37"/>
      <c r="Q117" s="37"/>
      <c r="R117" s="37"/>
      <c r="S117" s="37"/>
      <c r="T117" s="44">
        <v>12</v>
      </c>
      <c r="U117" s="37"/>
      <c r="V117" s="37" t="s">
        <v>838</v>
      </c>
      <c r="W117" s="37"/>
      <c r="X117" s="37"/>
      <c r="Y117" s="39"/>
      <c r="Z117" s="39"/>
      <c r="AA117" s="39"/>
      <c r="AB117" s="39"/>
      <c r="AC117" s="37" t="s">
        <v>40</v>
      </c>
      <c r="AD117" s="37"/>
      <c r="AE117" s="37"/>
      <c r="AF117" s="37" t="s">
        <v>679</v>
      </c>
      <c r="AG117" s="37" t="s">
        <v>841</v>
      </c>
      <c r="AH117" s="37"/>
      <c r="AI117" s="37" t="s">
        <v>25</v>
      </c>
      <c r="AJ117" s="21"/>
      <c r="AK117" s="45">
        <v>0</v>
      </c>
      <c r="AL117" s="40">
        <v>0</v>
      </c>
      <c r="AM117" s="41">
        <v>0</v>
      </c>
      <c r="AN117" s="45">
        <f t="shared" si="12"/>
        <v>0</v>
      </c>
      <c r="AO117" s="42"/>
      <c r="AP117" s="45">
        <v>0</v>
      </c>
      <c r="AQ117" s="40">
        <f t="shared" si="13"/>
        <v>0</v>
      </c>
      <c r="AR117" s="40">
        <f t="shared" si="14"/>
        <v>0</v>
      </c>
      <c r="AS117" s="40">
        <v>0</v>
      </c>
      <c r="AT117" s="40">
        <v>0</v>
      </c>
      <c r="AU117" s="40">
        <f t="shared" si="15"/>
        <v>0</v>
      </c>
      <c r="AV117" s="22"/>
      <c r="AW117" s="43"/>
    </row>
    <row r="118" spans="2:49">
      <c r="B118" s="37">
        <v>112</v>
      </c>
      <c r="C118" s="38" t="s">
        <v>985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 t="s">
        <v>836</v>
      </c>
      <c r="O118" s="37">
        <v>45919468</v>
      </c>
      <c r="P118" s="37"/>
      <c r="Q118" s="37"/>
      <c r="R118" s="37"/>
      <c r="S118" s="37"/>
      <c r="T118" s="44">
        <v>15</v>
      </c>
      <c r="U118" s="37"/>
      <c r="V118" s="37" t="s">
        <v>838</v>
      </c>
      <c r="W118" s="37"/>
      <c r="X118" s="37"/>
      <c r="Y118" s="39"/>
      <c r="Z118" s="39"/>
      <c r="AA118" s="39"/>
      <c r="AB118" s="39"/>
      <c r="AC118" s="37" t="s">
        <v>40</v>
      </c>
      <c r="AD118" s="37"/>
      <c r="AE118" s="37"/>
      <c r="AF118" s="37" t="s">
        <v>673</v>
      </c>
      <c r="AG118" s="37" t="s">
        <v>841</v>
      </c>
      <c r="AH118" s="37"/>
      <c r="AI118" s="37" t="s">
        <v>32</v>
      </c>
      <c r="AJ118" s="21"/>
      <c r="AK118" s="45">
        <v>0</v>
      </c>
      <c r="AL118" s="40">
        <v>0</v>
      </c>
      <c r="AM118" s="41">
        <v>0</v>
      </c>
      <c r="AN118" s="45">
        <f t="shared" si="12"/>
        <v>0</v>
      </c>
      <c r="AO118" s="42"/>
      <c r="AP118" s="45">
        <v>0</v>
      </c>
      <c r="AQ118" s="40">
        <f t="shared" si="13"/>
        <v>0</v>
      </c>
      <c r="AR118" s="40">
        <f t="shared" si="14"/>
        <v>0</v>
      </c>
      <c r="AS118" s="40">
        <v>0</v>
      </c>
      <c r="AT118" s="40">
        <v>0</v>
      </c>
      <c r="AU118" s="40">
        <f t="shared" si="15"/>
        <v>0</v>
      </c>
      <c r="AV118" s="21"/>
      <c r="AW118" s="46"/>
    </row>
    <row r="119" spans="2:49">
      <c r="B119" s="37">
        <v>113</v>
      </c>
      <c r="C119" s="38" t="s">
        <v>986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 t="s">
        <v>836</v>
      </c>
      <c r="O119" s="37">
        <v>71844864</v>
      </c>
      <c r="P119" s="37"/>
      <c r="Q119" s="37"/>
      <c r="R119" s="37"/>
      <c r="S119" s="37"/>
      <c r="T119" s="44">
        <v>10</v>
      </c>
      <c r="U119" s="37"/>
      <c r="V119" s="37" t="s">
        <v>838</v>
      </c>
      <c r="W119" s="37"/>
      <c r="X119" s="37"/>
      <c r="Y119" s="39"/>
      <c r="Z119" s="39"/>
      <c r="AA119" s="39"/>
      <c r="AB119" s="39"/>
      <c r="AC119" s="37" t="s">
        <v>40</v>
      </c>
      <c r="AD119" s="37"/>
      <c r="AE119" s="37"/>
      <c r="AF119" s="37" t="s">
        <v>673</v>
      </c>
      <c r="AG119" s="37" t="s">
        <v>841</v>
      </c>
      <c r="AH119" s="37"/>
      <c r="AI119" s="37" t="s">
        <v>32</v>
      </c>
      <c r="AJ119" s="21"/>
      <c r="AK119" s="45">
        <v>0</v>
      </c>
      <c r="AL119" s="40">
        <v>0</v>
      </c>
      <c r="AM119" s="41">
        <v>0</v>
      </c>
      <c r="AN119" s="45">
        <f t="shared" si="12"/>
        <v>0</v>
      </c>
      <c r="AO119" s="42"/>
      <c r="AP119" s="45">
        <v>0</v>
      </c>
      <c r="AQ119" s="40">
        <f t="shared" si="13"/>
        <v>0</v>
      </c>
      <c r="AR119" s="40">
        <f t="shared" si="14"/>
        <v>0</v>
      </c>
      <c r="AS119" s="40">
        <v>0</v>
      </c>
      <c r="AT119" s="40">
        <v>0</v>
      </c>
      <c r="AU119" s="40">
        <f t="shared" si="15"/>
        <v>0</v>
      </c>
      <c r="AV119" s="21"/>
      <c r="AW119" s="46"/>
    </row>
    <row r="120" spans="2:49">
      <c r="B120" s="37">
        <v>114</v>
      </c>
      <c r="C120" s="38" t="s">
        <v>987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 t="s">
        <v>836</v>
      </c>
      <c r="O120" s="37">
        <v>10359700</v>
      </c>
      <c r="P120" s="37"/>
      <c r="Q120" s="37"/>
      <c r="R120" s="37"/>
      <c r="S120" s="37"/>
      <c r="T120" s="44">
        <v>19</v>
      </c>
      <c r="U120" s="37"/>
      <c r="V120" s="37" t="s">
        <v>838</v>
      </c>
      <c r="W120" s="37"/>
      <c r="X120" s="37"/>
      <c r="Y120" s="39"/>
      <c r="Z120" s="39"/>
      <c r="AA120" s="39"/>
      <c r="AB120" s="39"/>
      <c r="AC120" s="37" t="s">
        <v>19</v>
      </c>
      <c r="AD120" s="37"/>
      <c r="AE120" s="37"/>
      <c r="AF120" s="37" t="s">
        <v>758</v>
      </c>
      <c r="AG120" s="37" t="s">
        <v>841</v>
      </c>
      <c r="AH120" s="37"/>
      <c r="AI120" s="37" t="s">
        <v>25</v>
      </c>
      <c r="AJ120" s="21"/>
      <c r="AK120" s="45">
        <v>0</v>
      </c>
      <c r="AL120" s="40">
        <v>0</v>
      </c>
      <c r="AM120" s="41">
        <v>0</v>
      </c>
      <c r="AN120" s="45">
        <f t="shared" si="12"/>
        <v>0</v>
      </c>
      <c r="AO120" s="42"/>
      <c r="AP120" s="45">
        <v>0</v>
      </c>
      <c r="AQ120" s="40">
        <f t="shared" si="13"/>
        <v>0</v>
      </c>
      <c r="AR120" s="40">
        <f t="shared" si="14"/>
        <v>0</v>
      </c>
      <c r="AS120" s="40">
        <v>0</v>
      </c>
      <c r="AT120" s="40">
        <v>0</v>
      </c>
      <c r="AU120" s="40">
        <f t="shared" si="15"/>
        <v>0</v>
      </c>
      <c r="AV120" s="22"/>
      <c r="AW120" s="43"/>
    </row>
    <row r="121" spans="2:49">
      <c r="B121" s="37">
        <v>115</v>
      </c>
      <c r="C121" s="38" t="s">
        <v>988</v>
      </c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 t="s">
        <v>836</v>
      </c>
      <c r="O121" s="37">
        <v>21863247</v>
      </c>
      <c r="P121" s="49">
        <v>955099182</v>
      </c>
      <c r="Q121" s="37"/>
      <c r="R121" s="132" t="s">
        <v>989</v>
      </c>
      <c r="S121" s="37"/>
      <c r="T121" s="44">
        <v>35</v>
      </c>
      <c r="U121" s="37"/>
      <c r="V121" s="37" t="s">
        <v>845</v>
      </c>
      <c r="W121" s="37"/>
      <c r="X121" s="37"/>
      <c r="Y121" s="39"/>
      <c r="Z121" s="39"/>
      <c r="AA121" s="39"/>
      <c r="AB121" s="39"/>
      <c r="AC121" s="37" t="s">
        <v>19</v>
      </c>
      <c r="AD121" s="37"/>
      <c r="AE121" s="37"/>
      <c r="AF121" s="37" t="s">
        <v>710</v>
      </c>
      <c r="AG121" s="37" t="s">
        <v>841</v>
      </c>
      <c r="AH121" s="37"/>
      <c r="AI121" s="37" t="s">
        <v>32</v>
      </c>
      <c r="AJ121" s="21"/>
      <c r="AK121" s="45">
        <v>0</v>
      </c>
      <c r="AL121" s="40">
        <v>0</v>
      </c>
      <c r="AM121" s="41">
        <v>0</v>
      </c>
      <c r="AN121" s="45">
        <f t="shared" si="12"/>
        <v>0</v>
      </c>
      <c r="AO121" s="42"/>
      <c r="AP121" s="45">
        <v>0</v>
      </c>
      <c r="AQ121" s="40">
        <f t="shared" si="13"/>
        <v>0</v>
      </c>
      <c r="AR121" s="40">
        <f t="shared" si="14"/>
        <v>0</v>
      </c>
      <c r="AS121" s="40">
        <v>0</v>
      </c>
      <c r="AT121" s="40">
        <v>0</v>
      </c>
      <c r="AU121" s="40">
        <f t="shared" si="15"/>
        <v>0</v>
      </c>
      <c r="AV121" s="21"/>
      <c r="AW121" s="46"/>
    </row>
    <row r="122" spans="2:49">
      <c r="B122" s="37">
        <v>116</v>
      </c>
      <c r="C122" s="38" t="s">
        <v>990</v>
      </c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 t="s">
        <v>836</v>
      </c>
      <c r="O122" s="37">
        <v>41160817</v>
      </c>
      <c r="P122" s="132">
        <v>934267072</v>
      </c>
      <c r="Q122" s="37"/>
      <c r="R122" s="132" t="s">
        <v>991</v>
      </c>
      <c r="S122" s="37"/>
      <c r="T122" s="44">
        <v>15</v>
      </c>
      <c r="U122" s="37"/>
      <c r="V122" s="37" t="s">
        <v>838</v>
      </c>
      <c r="W122" s="37"/>
      <c r="X122" s="37"/>
      <c r="Y122" s="39"/>
      <c r="Z122" s="39"/>
      <c r="AA122" s="39"/>
      <c r="AB122" s="39"/>
      <c r="AC122" s="37" t="s">
        <v>19</v>
      </c>
      <c r="AD122" s="37"/>
      <c r="AE122" s="37"/>
      <c r="AF122" s="37" t="s">
        <v>702</v>
      </c>
      <c r="AG122" s="37" t="s">
        <v>841</v>
      </c>
      <c r="AH122" s="37"/>
      <c r="AI122" s="37" t="s">
        <v>32</v>
      </c>
      <c r="AJ122" s="21"/>
      <c r="AK122" s="45">
        <v>0</v>
      </c>
      <c r="AL122" s="40">
        <v>0</v>
      </c>
      <c r="AM122" s="41">
        <v>0</v>
      </c>
      <c r="AN122" s="45">
        <f t="shared" si="12"/>
        <v>0</v>
      </c>
      <c r="AO122" s="42"/>
      <c r="AP122" s="45">
        <v>0</v>
      </c>
      <c r="AQ122" s="40">
        <f t="shared" si="13"/>
        <v>0</v>
      </c>
      <c r="AR122" s="40">
        <f t="shared" si="14"/>
        <v>0</v>
      </c>
      <c r="AS122" s="40">
        <v>0</v>
      </c>
      <c r="AT122" s="40">
        <v>0</v>
      </c>
      <c r="AU122" s="40">
        <f t="shared" si="15"/>
        <v>0</v>
      </c>
      <c r="AV122" s="22"/>
      <c r="AW122" s="43"/>
    </row>
    <row r="123" spans="2:49">
      <c r="B123" s="37">
        <v>117</v>
      </c>
      <c r="C123" s="38" t="s">
        <v>992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 t="s">
        <v>836</v>
      </c>
      <c r="O123" s="37">
        <v>70276881</v>
      </c>
      <c r="P123" s="132">
        <v>943827183</v>
      </c>
      <c r="Q123" s="37"/>
      <c r="R123" s="132" t="s">
        <v>993</v>
      </c>
      <c r="S123" s="37"/>
      <c r="T123" s="44">
        <v>19</v>
      </c>
      <c r="U123" s="37"/>
      <c r="V123" s="37" t="s">
        <v>838</v>
      </c>
      <c r="W123" s="37"/>
      <c r="X123" s="37"/>
      <c r="Y123" s="39"/>
      <c r="Z123" s="39"/>
      <c r="AA123" s="39"/>
      <c r="AB123" s="39"/>
      <c r="AC123" s="37" t="s">
        <v>19</v>
      </c>
      <c r="AD123" s="37"/>
      <c r="AE123" s="37"/>
      <c r="AF123" s="37" t="s">
        <v>702</v>
      </c>
      <c r="AG123" s="37" t="s">
        <v>841</v>
      </c>
      <c r="AH123" s="37"/>
      <c r="AI123" s="37" t="s">
        <v>32</v>
      </c>
      <c r="AJ123" s="21"/>
      <c r="AK123" s="45">
        <v>0</v>
      </c>
      <c r="AL123" s="40">
        <v>0</v>
      </c>
      <c r="AM123" s="41">
        <v>0</v>
      </c>
      <c r="AN123" s="45">
        <f t="shared" si="12"/>
        <v>0</v>
      </c>
      <c r="AO123" s="42"/>
      <c r="AP123" s="45">
        <v>0</v>
      </c>
      <c r="AQ123" s="40">
        <f t="shared" si="13"/>
        <v>0</v>
      </c>
      <c r="AR123" s="40">
        <f t="shared" si="14"/>
        <v>0</v>
      </c>
      <c r="AS123" s="40">
        <v>0</v>
      </c>
      <c r="AT123" s="40">
        <v>0</v>
      </c>
      <c r="AU123" s="40">
        <f t="shared" si="15"/>
        <v>0</v>
      </c>
      <c r="AV123" s="21"/>
      <c r="AW123" s="46"/>
    </row>
    <row r="124" spans="2:49">
      <c r="B124" s="37">
        <v>118</v>
      </c>
      <c r="C124" s="38" t="s">
        <v>994</v>
      </c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 t="s">
        <v>836</v>
      </c>
      <c r="O124" s="37">
        <v>70113719</v>
      </c>
      <c r="P124" s="37"/>
      <c r="Q124" s="37"/>
      <c r="R124" s="37"/>
      <c r="S124" s="37"/>
      <c r="T124" s="44">
        <v>12</v>
      </c>
      <c r="U124" s="37"/>
      <c r="V124" s="37" t="s">
        <v>838</v>
      </c>
      <c r="W124" s="37"/>
      <c r="X124" s="37"/>
      <c r="Y124" s="39"/>
      <c r="Z124" s="39"/>
      <c r="AA124" s="39"/>
      <c r="AB124" s="39"/>
      <c r="AC124" s="37" t="s">
        <v>40</v>
      </c>
      <c r="AD124" s="37"/>
      <c r="AE124" s="37"/>
      <c r="AF124" s="37" t="s">
        <v>679</v>
      </c>
      <c r="AG124" s="37" t="s">
        <v>856</v>
      </c>
      <c r="AH124" s="37"/>
      <c r="AI124" s="37" t="s">
        <v>32</v>
      </c>
      <c r="AJ124" s="21"/>
      <c r="AK124" s="45">
        <v>0</v>
      </c>
      <c r="AL124" s="40">
        <v>0</v>
      </c>
      <c r="AM124" s="41">
        <v>0</v>
      </c>
      <c r="AN124" s="45">
        <f t="shared" si="12"/>
        <v>0</v>
      </c>
      <c r="AO124" s="42"/>
      <c r="AP124" s="45">
        <v>0</v>
      </c>
      <c r="AQ124" s="40">
        <f t="shared" si="13"/>
        <v>0</v>
      </c>
      <c r="AR124" s="40">
        <f t="shared" si="14"/>
        <v>0</v>
      </c>
      <c r="AS124" s="40">
        <v>0</v>
      </c>
      <c r="AT124" s="40">
        <v>0</v>
      </c>
      <c r="AU124" s="40">
        <f t="shared" si="15"/>
        <v>0</v>
      </c>
      <c r="AV124" s="22"/>
      <c r="AW124" s="43"/>
    </row>
    <row r="125" spans="2:49">
      <c r="B125" s="37">
        <v>119</v>
      </c>
      <c r="C125" s="38" t="s">
        <v>995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 t="s">
        <v>836</v>
      </c>
      <c r="O125" s="37">
        <v>43153608</v>
      </c>
      <c r="P125" s="132">
        <v>935863064</v>
      </c>
      <c r="Q125" s="37"/>
      <c r="R125" s="132" t="s">
        <v>996</v>
      </c>
      <c r="S125" s="37"/>
      <c r="T125" s="44">
        <v>16</v>
      </c>
      <c r="U125" s="37"/>
      <c r="V125" s="37" t="s">
        <v>838</v>
      </c>
      <c r="W125" s="37"/>
      <c r="X125" s="37"/>
      <c r="Y125" s="39"/>
      <c r="Z125" s="39"/>
      <c r="AA125" s="39"/>
      <c r="AB125" s="39"/>
      <c r="AC125" s="37" t="s">
        <v>19</v>
      </c>
      <c r="AD125" s="37"/>
      <c r="AE125" s="37"/>
      <c r="AF125" s="37" t="s">
        <v>702</v>
      </c>
      <c r="AG125" s="37" t="s">
        <v>841</v>
      </c>
      <c r="AH125" s="37"/>
      <c r="AI125" s="37" t="s">
        <v>20</v>
      </c>
      <c r="AJ125" s="21"/>
      <c r="AK125" s="45">
        <v>0</v>
      </c>
      <c r="AL125" s="40">
        <v>0</v>
      </c>
      <c r="AM125" s="41">
        <v>0</v>
      </c>
      <c r="AN125" s="45">
        <f t="shared" si="12"/>
        <v>0</v>
      </c>
      <c r="AO125" s="42"/>
      <c r="AP125" s="45">
        <v>0</v>
      </c>
      <c r="AQ125" s="40">
        <f t="shared" si="13"/>
        <v>0</v>
      </c>
      <c r="AR125" s="40">
        <f t="shared" si="14"/>
        <v>0</v>
      </c>
      <c r="AS125" s="40">
        <v>0</v>
      </c>
      <c r="AT125" s="40">
        <v>0</v>
      </c>
      <c r="AU125" s="40">
        <f t="shared" si="15"/>
        <v>0</v>
      </c>
      <c r="AV125" s="21"/>
      <c r="AW125" s="46"/>
    </row>
    <row r="126" spans="2:49">
      <c r="B126" s="37">
        <v>120</v>
      </c>
      <c r="C126" s="38" t="s">
        <v>997</v>
      </c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 t="s">
        <v>836</v>
      </c>
      <c r="O126" s="37">
        <v>22101555</v>
      </c>
      <c r="P126" s="37"/>
      <c r="Q126" s="37"/>
      <c r="R126" s="37"/>
      <c r="S126" s="37"/>
      <c r="T126" s="44">
        <v>12</v>
      </c>
      <c r="U126" s="37"/>
      <c r="V126" s="37" t="s">
        <v>838</v>
      </c>
      <c r="W126" s="37"/>
      <c r="X126" s="37"/>
      <c r="Y126" s="39"/>
      <c r="Z126" s="39"/>
      <c r="AA126" s="39"/>
      <c r="AB126" s="39"/>
      <c r="AC126" s="37" t="s">
        <v>40</v>
      </c>
      <c r="AD126" s="37"/>
      <c r="AE126" s="37"/>
      <c r="AF126" s="37" t="s">
        <v>679</v>
      </c>
      <c r="AG126" s="37" t="s">
        <v>841</v>
      </c>
      <c r="AH126" s="37"/>
      <c r="AI126" s="37" t="s">
        <v>20</v>
      </c>
      <c r="AJ126" s="21"/>
      <c r="AK126" s="45">
        <v>0</v>
      </c>
      <c r="AL126" s="40">
        <v>0</v>
      </c>
      <c r="AM126" s="41">
        <v>0</v>
      </c>
      <c r="AN126" s="45">
        <f t="shared" si="12"/>
        <v>0</v>
      </c>
      <c r="AO126" s="42"/>
      <c r="AP126" s="45">
        <v>0</v>
      </c>
      <c r="AQ126" s="40">
        <f t="shared" si="13"/>
        <v>0</v>
      </c>
      <c r="AR126" s="40">
        <f t="shared" si="14"/>
        <v>0</v>
      </c>
      <c r="AS126" s="40">
        <v>0</v>
      </c>
      <c r="AT126" s="40">
        <v>0</v>
      </c>
      <c r="AU126" s="40">
        <f t="shared" si="15"/>
        <v>0</v>
      </c>
      <c r="AV126" s="22"/>
      <c r="AW126" s="43"/>
    </row>
    <row r="127" spans="2:49">
      <c r="B127" s="37">
        <v>121</v>
      </c>
      <c r="C127" s="38" t="s">
        <v>998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 t="s">
        <v>836</v>
      </c>
      <c r="O127" s="37">
        <v>43932363</v>
      </c>
      <c r="P127" s="37"/>
      <c r="Q127" s="37"/>
      <c r="R127" s="37"/>
      <c r="S127" s="37"/>
      <c r="T127" s="44">
        <v>9</v>
      </c>
      <c r="U127" s="37"/>
      <c r="V127" s="37" t="s">
        <v>838</v>
      </c>
      <c r="W127" s="37"/>
      <c r="X127" s="37"/>
      <c r="Y127" s="39"/>
      <c r="Z127" s="39"/>
      <c r="AA127" s="39"/>
      <c r="AB127" s="39"/>
      <c r="AC127" s="37" t="s">
        <v>19</v>
      </c>
      <c r="AD127" s="37"/>
      <c r="AE127" s="37"/>
      <c r="AF127" s="37" t="s">
        <v>750</v>
      </c>
      <c r="AG127" s="37" t="s">
        <v>841</v>
      </c>
      <c r="AH127" s="37"/>
      <c r="AI127" s="37" t="s">
        <v>41</v>
      </c>
      <c r="AJ127" s="21"/>
      <c r="AK127" s="45">
        <v>0</v>
      </c>
      <c r="AL127" s="40">
        <v>0</v>
      </c>
      <c r="AM127" s="41">
        <v>0</v>
      </c>
      <c r="AN127" s="45">
        <f t="shared" si="12"/>
        <v>0</v>
      </c>
      <c r="AO127" s="42"/>
      <c r="AP127" s="45">
        <v>0</v>
      </c>
      <c r="AQ127" s="40">
        <f t="shared" si="13"/>
        <v>0</v>
      </c>
      <c r="AR127" s="40">
        <f t="shared" si="14"/>
        <v>0</v>
      </c>
      <c r="AS127" s="40">
        <v>0</v>
      </c>
      <c r="AT127" s="40">
        <v>0</v>
      </c>
      <c r="AU127" s="40">
        <f t="shared" si="15"/>
        <v>0</v>
      </c>
      <c r="AV127" s="21"/>
      <c r="AW127" s="46"/>
    </row>
    <row r="128" spans="2:49">
      <c r="B128" s="37">
        <v>122</v>
      </c>
      <c r="C128" s="38" t="s">
        <v>999</v>
      </c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 t="s">
        <v>836</v>
      </c>
      <c r="O128" s="132" t="s">
        <v>1000</v>
      </c>
      <c r="P128" s="132">
        <v>956918158</v>
      </c>
      <c r="Q128" s="37"/>
      <c r="R128" s="132" t="s">
        <v>1001</v>
      </c>
      <c r="S128" s="37"/>
      <c r="T128" s="44">
        <v>30</v>
      </c>
      <c r="U128" s="37"/>
      <c r="V128" s="37" t="s">
        <v>845</v>
      </c>
      <c r="W128" s="37"/>
      <c r="X128" s="37"/>
      <c r="Y128" s="39"/>
      <c r="Z128" s="39"/>
      <c r="AA128" s="39"/>
      <c r="AB128" s="39"/>
      <c r="AC128" s="37" t="s">
        <v>19</v>
      </c>
      <c r="AD128" s="37"/>
      <c r="AE128" s="37"/>
      <c r="AF128" s="37" t="s">
        <v>702</v>
      </c>
      <c r="AG128" s="37" t="s">
        <v>841</v>
      </c>
      <c r="AH128" s="37"/>
      <c r="AI128" s="37" t="s">
        <v>32</v>
      </c>
      <c r="AJ128" s="21"/>
      <c r="AK128" s="45">
        <v>0</v>
      </c>
      <c r="AL128" s="40">
        <v>0</v>
      </c>
      <c r="AM128" s="41">
        <v>0</v>
      </c>
      <c r="AN128" s="45">
        <f t="shared" si="12"/>
        <v>0</v>
      </c>
      <c r="AO128" s="42"/>
      <c r="AP128" s="45">
        <v>0</v>
      </c>
      <c r="AQ128" s="40">
        <f t="shared" si="13"/>
        <v>0</v>
      </c>
      <c r="AR128" s="40">
        <f t="shared" si="14"/>
        <v>0</v>
      </c>
      <c r="AS128" s="40">
        <v>0</v>
      </c>
      <c r="AT128" s="40">
        <v>0</v>
      </c>
      <c r="AU128" s="40">
        <f t="shared" si="15"/>
        <v>0</v>
      </c>
      <c r="AV128" s="22"/>
      <c r="AW128" s="43"/>
    </row>
    <row r="129" spans="2:52">
      <c r="B129" s="37">
        <v>123</v>
      </c>
      <c r="C129" s="38" t="s">
        <v>1002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 t="s">
        <v>836</v>
      </c>
      <c r="O129" s="37">
        <v>21863704</v>
      </c>
      <c r="P129" s="37"/>
      <c r="Q129" s="37"/>
      <c r="R129" s="37"/>
      <c r="S129" s="37"/>
      <c r="T129" s="44">
        <v>15</v>
      </c>
      <c r="U129" s="37"/>
      <c r="V129" s="37" t="s">
        <v>838</v>
      </c>
      <c r="W129" s="37"/>
      <c r="X129" s="37"/>
      <c r="Y129" s="39"/>
      <c r="Z129" s="39"/>
      <c r="AA129" s="39"/>
      <c r="AB129" s="39"/>
      <c r="AC129" s="37" t="s">
        <v>19</v>
      </c>
      <c r="AD129" s="37"/>
      <c r="AE129" s="37"/>
      <c r="AF129" s="37" t="s">
        <v>758</v>
      </c>
      <c r="AG129" s="37" t="s">
        <v>841</v>
      </c>
      <c r="AH129" s="37"/>
      <c r="AI129" s="37" t="s">
        <v>41</v>
      </c>
      <c r="AJ129" s="21"/>
      <c r="AK129" s="45">
        <v>0</v>
      </c>
      <c r="AL129" s="40">
        <v>0</v>
      </c>
      <c r="AM129" s="41">
        <v>0</v>
      </c>
      <c r="AN129" s="45">
        <f t="shared" si="12"/>
        <v>0</v>
      </c>
      <c r="AO129" s="42"/>
      <c r="AP129" s="45">
        <v>0</v>
      </c>
      <c r="AQ129" s="40">
        <f t="shared" si="13"/>
        <v>0</v>
      </c>
      <c r="AR129" s="40">
        <f t="shared" si="14"/>
        <v>0</v>
      </c>
      <c r="AS129" s="40">
        <v>0</v>
      </c>
      <c r="AT129" s="40">
        <v>0</v>
      </c>
      <c r="AU129" s="40">
        <f t="shared" si="15"/>
        <v>0</v>
      </c>
      <c r="AV129" s="21"/>
      <c r="AW129" s="46"/>
    </row>
    <row r="130" spans="2:52">
      <c r="B130" s="37">
        <v>124</v>
      </c>
      <c r="C130" s="141" t="s">
        <v>1003</v>
      </c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 t="s">
        <v>836</v>
      </c>
      <c r="O130" s="37">
        <v>44070783</v>
      </c>
      <c r="P130" s="37"/>
      <c r="Q130" s="37"/>
      <c r="R130" s="37"/>
      <c r="S130" s="37"/>
      <c r="T130" s="110">
        <v>22</v>
      </c>
      <c r="U130" s="37"/>
      <c r="V130" s="37" t="s">
        <v>838</v>
      </c>
      <c r="W130" s="37"/>
      <c r="X130" s="37"/>
      <c r="Y130" s="39"/>
      <c r="Z130" s="39"/>
      <c r="AA130" s="39"/>
      <c r="AB130" s="39"/>
      <c r="AC130" s="37" t="s">
        <v>40</v>
      </c>
      <c r="AD130" s="37"/>
      <c r="AE130" s="37"/>
      <c r="AF130" s="37" t="s">
        <v>679</v>
      </c>
      <c r="AG130" s="37" t="s">
        <v>841</v>
      </c>
      <c r="AH130" s="37"/>
      <c r="AI130" s="37" t="s">
        <v>25</v>
      </c>
      <c r="AJ130" s="21"/>
      <c r="AK130" s="45">
        <v>0</v>
      </c>
      <c r="AL130" s="40">
        <v>0</v>
      </c>
      <c r="AM130" s="41">
        <v>0</v>
      </c>
      <c r="AN130" s="45">
        <f t="shared" si="12"/>
        <v>0</v>
      </c>
      <c r="AO130" s="42"/>
      <c r="AP130" s="45">
        <v>0</v>
      </c>
      <c r="AQ130" s="40">
        <f t="shared" si="13"/>
        <v>0</v>
      </c>
      <c r="AR130" s="40">
        <f t="shared" si="14"/>
        <v>0</v>
      </c>
      <c r="AS130" s="40">
        <v>0</v>
      </c>
      <c r="AT130" s="40">
        <v>0</v>
      </c>
      <c r="AU130" s="40">
        <f t="shared" si="15"/>
        <v>0</v>
      </c>
      <c r="AV130" s="22"/>
      <c r="AW130" s="43"/>
      <c r="AZ130" s="111" t="s">
        <v>1004</v>
      </c>
    </row>
    <row r="131" spans="2:52">
      <c r="B131" s="37">
        <v>125</v>
      </c>
      <c r="C131" s="38" t="s">
        <v>1005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 t="s">
        <v>836</v>
      </c>
      <c r="O131" s="37">
        <v>43437121</v>
      </c>
      <c r="P131" s="37"/>
      <c r="Q131" s="37"/>
      <c r="R131" s="37"/>
      <c r="S131" s="37"/>
      <c r="T131" s="44">
        <v>27</v>
      </c>
      <c r="U131" s="37"/>
      <c r="V131" s="37" t="s">
        <v>845</v>
      </c>
      <c r="W131" s="37"/>
      <c r="X131" s="37"/>
      <c r="Y131" s="39"/>
      <c r="Z131" s="39"/>
      <c r="AA131" s="39"/>
      <c r="AB131" s="39"/>
      <c r="AC131" s="37" t="s">
        <v>19</v>
      </c>
      <c r="AD131" s="37"/>
      <c r="AE131" s="37"/>
      <c r="AF131" s="37" t="s">
        <v>679</v>
      </c>
      <c r="AG131" s="37" t="s">
        <v>841</v>
      </c>
      <c r="AH131" s="37"/>
      <c r="AI131" s="37" t="s">
        <v>25</v>
      </c>
      <c r="AJ131" s="21"/>
      <c r="AK131" s="45">
        <v>0</v>
      </c>
      <c r="AL131" s="40">
        <v>0</v>
      </c>
      <c r="AM131" s="41">
        <v>0</v>
      </c>
      <c r="AN131" s="45">
        <f t="shared" si="12"/>
        <v>0</v>
      </c>
      <c r="AO131" s="42"/>
      <c r="AP131" s="45">
        <v>0</v>
      </c>
      <c r="AQ131" s="40">
        <f t="shared" si="13"/>
        <v>0</v>
      </c>
      <c r="AR131" s="40">
        <f t="shared" si="14"/>
        <v>0</v>
      </c>
      <c r="AS131" s="40">
        <v>0</v>
      </c>
      <c r="AT131" s="40">
        <v>0</v>
      </c>
      <c r="AU131" s="40">
        <f t="shared" si="15"/>
        <v>0</v>
      </c>
      <c r="AV131" s="21"/>
      <c r="AW131" s="46"/>
    </row>
    <row r="132" spans="2:52">
      <c r="B132" s="37">
        <v>126</v>
      </c>
      <c r="C132" s="38" t="s">
        <v>1006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 t="s">
        <v>836</v>
      </c>
      <c r="O132" s="37">
        <v>40165347</v>
      </c>
      <c r="P132" s="37">
        <v>954504259</v>
      </c>
      <c r="Q132" s="37" t="s">
        <v>1007</v>
      </c>
      <c r="R132" s="37" t="s">
        <v>1008</v>
      </c>
      <c r="S132" s="37"/>
      <c r="T132" s="44">
        <v>34</v>
      </c>
      <c r="U132" s="37"/>
      <c r="V132" s="37" t="s">
        <v>845</v>
      </c>
      <c r="W132" s="37"/>
      <c r="X132" s="37"/>
      <c r="Y132" s="39"/>
      <c r="Z132" s="39"/>
      <c r="AA132" s="39"/>
      <c r="AB132" s="39"/>
      <c r="AC132" s="37" t="s">
        <v>19</v>
      </c>
      <c r="AD132" s="37"/>
      <c r="AE132" s="37"/>
      <c r="AF132" s="37" t="s">
        <v>728</v>
      </c>
      <c r="AG132" s="37" t="s">
        <v>841</v>
      </c>
      <c r="AH132" s="37"/>
      <c r="AI132" s="37" t="s">
        <v>25</v>
      </c>
      <c r="AJ132" s="21"/>
      <c r="AK132" s="45">
        <v>0</v>
      </c>
      <c r="AL132" s="40">
        <v>0</v>
      </c>
      <c r="AM132" s="41">
        <v>0</v>
      </c>
      <c r="AN132" s="45">
        <f t="shared" si="12"/>
        <v>0</v>
      </c>
      <c r="AO132" s="42"/>
      <c r="AP132" s="45">
        <v>0</v>
      </c>
      <c r="AQ132" s="40">
        <f t="shared" si="13"/>
        <v>0</v>
      </c>
      <c r="AR132" s="40">
        <f t="shared" si="14"/>
        <v>0</v>
      </c>
      <c r="AS132" s="40">
        <v>0</v>
      </c>
      <c r="AT132" s="40">
        <v>0</v>
      </c>
      <c r="AU132" s="40">
        <f t="shared" si="15"/>
        <v>0</v>
      </c>
      <c r="AV132" s="22"/>
      <c r="AW132" s="43"/>
    </row>
    <row r="133" spans="2:52">
      <c r="B133" s="37">
        <v>127</v>
      </c>
      <c r="C133" s="38" t="s">
        <v>788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 t="s">
        <v>836</v>
      </c>
      <c r="O133" s="132" t="s">
        <v>1009</v>
      </c>
      <c r="P133" s="37"/>
      <c r="Q133" s="37"/>
      <c r="R133" s="37"/>
      <c r="S133" s="37"/>
      <c r="T133" s="44">
        <v>17</v>
      </c>
      <c r="U133" s="37"/>
      <c r="V133" s="37" t="s">
        <v>838</v>
      </c>
      <c r="W133" s="37"/>
      <c r="X133" s="37"/>
      <c r="Y133" s="39"/>
      <c r="Z133" s="39"/>
      <c r="AA133" s="39"/>
      <c r="AB133" s="39"/>
      <c r="AC133" s="37" t="s">
        <v>19</v>
      </c>
      <c r="AD133" s="37"/>
      <c r="AE133" s="37"/>
      <c r="AF133" s="37" t="s">
        <v>771</v>
      </c>
      <c r="AG133" s="37" t="s">
        <v>856</v>
      </c>
      <c r="AH133" s="37"/>
      <c r="AI133" s="37" t="s">
        <v>32</v>
      </c>
      <c r="AJ133" s="21"/>
      <c r="AK133" s="45">
        <v>0</v>
      </c>
      <c r="AL133" s="40">
        <v>0</v>
      </c>
      <c r="AM133" s="41">
        <v>0</v>
      </c>
      <c r="AN133" s="45">
        <f t="shared" si="12"/>
        <v>0</v>
      </c>
      <c r="AO133" s="42"/>
      <c r="AP133" s="45">
        <v>0</v>
      </c>
      <c r="AQ133" s="40">
        <f t="shared" si="13"/>
        <v>0</v>
      </c>
      <c r="AR133" s="40">
        <f t="shared" si="14"/>
        <v>0</v>
      </c>
      <c r="AS133" s="40">
        <v>0</v>
      </c>
      <c r="AT133" s="40">
        <v>0</v>
      </c>
      <c r="AU133" s="40">
        <f t="shared" si="15"/>
        <v>0</v>
      </c>
      <c r="AV133" s="21"/>
      <c r="AW133" s="46"/>
    </row>
    <row r="134" spans="2:52">
      <c r="B134" s="37">
        <v>128</v>
      </c>
      <c r="C134" s="38" t="s">
        <v>1010</v>
      </c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 t="s">
        <v>836</v>
      </c>
      <c r="O134" s="37">
        <v>41730649</v>
      </c>
      <c r="P134" s="37"/>
      <c r="Q134" s="37"/>
      <c r="R134" s="37"/>
      <c r="S134" s="37"/>
      <c r="T134" s="44">
        <v>10</v>
      </c>
      <c r="U134" s="37"/>
      <c r="V134" s="37" t="s">
        <v>838</v>
      </c>
      <c r="W134" s="37"/>
      <c r="X134" s="37"/>
      <c r="Y134" s="39"/>
      <c r="Z134" s="39"/>
      <c r="AA134" s="39"/>
      <c r="AB134" s="39"/>
      <c r="AC134" s="37" t="s">
        <v>19</v>
      </c>
      <c r="AD134" s="37"/>
      <c r="AE134" s="37"/>
      <c r="AF134" s="37" t="s">
        <v>925</v>
      </c>
      <c r="AG134" s="37" t="s">
        <v>856</v>
      </c>
      <c r="AH134" s="37"/>
      <c r="AI134" s="37" t="s">
        <v>32</v>
      </c>
      <c r="AJ134" s="21"/>
      <c r="AK134" s="45">
        <v>0</v>
      </c>
      <c r="AL134" s="40">
        <v>0</v>
      </c>
      <c r="AM134" s="41">
        <v>0</v>
      </c>
      <c r="AN134" s="45">
        <f t="shared" si="12"/>
        <v>0</v>
      </c>
      <c r="AO134" s="42"/>
      <c r="AP134" s="45">
        <v>0</v>
      </c>
      <c r="AQ134" s="40">
        <f t="shared" si="13"/>
        <v>0</v>
      </c>
      <c r="AR134" s="40">
        <f t="shared" si="14"/>
        <v>0</v>
      </c>
      <c r="AS134" s="40">
        <v>0</v>
      </c>
      <c r="AT134" s="40">
        <v>0</v>
      </c>
      <c r="AU134" s="40">
        <f t="shared" si="15"/>
        <v>0</v>
      </c>
      <c r="AV134" s="22"/>
      <c r="AW134" s="43"/>
    </row>
    <row r="135" spans="2:52">
      <c r="B135" s="37">
        <v>129</v>
      </c>
      <c r="C135" s="38" t="s">
        <v>1011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 t="s">
        <v>836</v>
      </c>
      <c r="O135" s="37">
        <v>21793368</v>
      </c>
      <c r="P135" s="132">
        <v>956932039</v>
      </c>
      <c r="Q135" s="37"/>
      <c r="R135" s="132" t="s">
        <v>1012</v>
      </c>
      <c r="S135" s="37"/>
      <c r="T135" s="44">
        <v>15</v>
      </c>
      <c r="U135" s="37"/>
      <c r="V135" s="37" t="s">
        <v>845</v>
      </c>
      <c r="W135" s="37"/>
      <c r="X135" s="37"/>
      <c r="Y135" s="39"/>
      <c r="Z135" s="39"/>
      <c r="AA135" s="39"/>
      <c r="AB135" s="39"/>
      <c r="AC135" s="37" t="s">
        <v>19</v>
      </c>
      <c r="AD135" s="37"/>
      <c r="AE135" s="37"/>
      <c r="AF135" s="37" t="s">
        <v>702</v>
      </c>
      <c r="AG135" s="37" t="s">
        <v>841</v>
      </c>
      <c r="AH135" s="37"/>
      <c r="AI135" s="37" t="s">
        <v>32</v>
      </c>
      <c r="AJ135" s="21"/>
      <c r="AK135" s="45">
        <v>0</v>
      </c>
      <c r="AL135" s="40">
        <v>0</v>
      </c>
      <c r="AM135" s="41">
        <v>0</v>
      </c>
      <c r="AN135" s="45">
        <f t="shared" si="12"/>
        <v>0</v>
      </c>
      <c r="AO135" s="42"/>
      <c r="AP135" s="45">
        <v>0</v>
      </c>
      <c r="AQ135" s="40">
        <f t="shared" si="13"/>
        <v>0</v>
      </c>
      <c r="AR135" s="40">
        <f t="shared" si="14"/>
        <v>0</v>
      </c>
      <c r="AS135" s="40">
        <v>0</v>
      </c>
      <c r="AT135" s="40">
        <v>0</v>
      </c>
      <c r="AU135" s="40">
        <f t="shared" si="15"/>
        <v>0</v>
      </c>
      <c r="AV135" s="21"/>
      <c r="AW135" s="46"/>
    </row>
    <row r="136" spans="2:52">
      <c r="B136" s="37">
        <v>130</v>
      </c>
      <c r="C136" s="38" t="s">
        <v>1013</v>
      </c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 t="s">
        <v>836</v>
      </c>
      <c r="O136" s="37">
        <v>25662813</v>
      </c>
      <c r="P136" s="37"/>
      <c r="Q136" s="37"/>
      <c r="R136" s="37"/>
      <c r="S136" s="37"/>
      <c r="T136" s="44">
        <v>19</v>
      </c>
      <c r="U136" s="37"/>
      <c r="V136" s="37" t="s">
        <v>838</v>
      </c>
      <c r="W136" s="37"/>
      <c r="X136" s="37"/>
      <c r="Y136" s="39"/>
      <c r="Z136" s="39"/>
      <c r="AA136" s="39"/>
      <c r="AB136" s="39"/>
      <c r="AC136" s="37" t="s">
        <v>19</v>
      </c>
      <c r="AD136" s="37"/>
      <c r="AE136" s="37"/>
      <c r="AF136" s="37" t="s">
        <v>710</v>
      </c>
      <c r="AG136" s="37" t="s">
        <v>841</v>
      </c>
      <c r="AH136" s="37"/>
      <c r="AI136" s="37" t="s">
        <v>25</v>
      </c>
      <c r="AJ136" s="21"/>
      <c r="AK136" s="45">
        <v>0</v>
      </c>
      <c r="AL136" s="40">
        <v>0</v>
      </c>
      <c r="AM136" s="41">
        <v>0</v>
      </c>
      <c r="AN136" s="45">
        <f t="shared" si="12"/>
        <v>0</v>
      </c>
      <c r="AO136" s="42"/>
      <c r="AP136" s="45">
        <v>0</v>
      </c>
      <c r="AQ136" s="40">
        <f t="shared" si="13"/>
        <v>0</v>
      </c>
      <c r="AR136" s="40">
        <f t="shared" si="14"/>
        <v>0</v>
      </c>
      <c r="AS136" s="40">
        <v>0</v>
      </c>
      <c r="AT136" s="40">
        <v>0</v>
      </c>
      <c r="AU136" s="40">
        <f t="shared" si="15"/>
        <v>0</v>
      </c>
      <c r="AV136" s="22"/>
      <c r="AW136" s="43"/>
    </row>
    <row r="137" spans="2:52">
      <c r="B137" s="37">
        <v>131</v>
      </c>
      <c r="C137" s="38" t="s">
        <v>1014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 t="s">
        <v>836</v>
      </c>
      <c r="O137" s="37">
        <v>45191542</v>
      </c>
      <c r="P137" s="143">
        <v>944548387</v>
      </c>
      <c r="Q137" s="143" t="s">
        <v>1015</v>
      </c>
      <c r="R137" s="143" t="s">
        <v>1016</v>
      </c>
      <c r="S137" s="37"/>
      <c r="T137" s="44">
        <v>14</v>
      </c>
      <c r="U137" s="37"/>
      <c r="V137" s="37" t="s">
        <v>838</v>
      </c>
      <c r="W137" s="37"/>
      <c r="X137" s="37"/>
      <c r="Y137" s="39"/>
      <c r="Z137" s="39"/>
      <c r="AA137" s="39"/>
      <c r="AB137" s="39"/>
      <c r="AC137" s="37" t="s">
        <v>40</v>
      </c>
      <c r="AD137" s="37"/>
      <c r="AE137" s="37"/>
      <c r="AF137" s="37" t="s">
        <v>739</v>
      </c>
      <c r="AG137" s="37" t="s">
        <v>841</v>
      </c>
      <c r="AH137" s="37"/>
      <c r="AI137" s="37" t="s">
        <v>20</v>
      </c>
      <c r="AJ137" s="21"/>
      <c r="AK137" s="45">
        <v>0</v>
      </c>
      <c r="AL137" s="40">
        <v>0</v>
      </c>
      <c r="AM137" s="41">
        <v>0</v>
      </c>
      <c r="AN137" s="45">
        <f t="shared" si="12"/>
        <v>0</v>
      </c>
      <c r="AO137" s="42"/>
      <c r="AP137" s="45">
        <v>0</v>
      </c>
      <c r="AQ137" s="40">
        <f t="shared" si="13"/>
        <v>0</v>
      </c>
      <c r="AR137" s="40">
        <f t="shared" si="14"/>
        <v>0</v>
      </c>
      <c r="AS137" s="40">
        <v>0</v>
      </c>
      <c r="AT137" s="40">
        <v>0</v>
      </c>
      <c r="AU137" s="40">
        <f t="shared" si="15"/>
        <v>0</v>
      </c>
      <c r="AV137" s="21"/>
      <c r="AW137" s="46"/>
    </row>
    <row r="138" spans="2:52">
      <c r="B138" s="37">
        <v>132</v>
      </c>
      <c r="C138" s="38" t="s">
        <v>1017</v>
      </c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 t="s">
        <v>836</v>
      </c>
      <c r="O138" s="37">
        <v>44699467</v>
      </c>
      <c r="P138" s="143">
        <v>942939794</v>
      </c>
      <c r="Q138" s="37"/>
      <c r="R138" s="143" t="s">
        <v>1018</v>
      </c>
      <c r="S138" s="37"/>
      <c r="T138" s="44">
        <v>17</v>
      </c>
      <c r="U138" s="37"/>
      <c r="V138" s="37" t="s">
        <v>838</v>
      </c>
      <c r="W138" s="37"/>
      <c r="X138" s="37"/>
      <c r="Y138" s="39"/>
      <c r="Z138" s="39"/>
      <c r="AA138" s="39"/>
      <c r="AB138" s="39"/>
      <c r="AC138" s="37" t="s">
        <v>19</v>
      </c>
      <c r="AD138" s="37"/>
      <c r="AE138" s="37"/>
      <c r="AF138" s="37" t="s">
        <v>702</v>
      </c>
      <c r="AG138" s="37" t="s">
        <v>841</v>
      </c>
      <c r="AH138" s="37"/>
      <c r="AI138" s="37" t="s">
        <v>32</v>
      </c>
      <c r="AJ138" s="21"/>
      <c r="AK138" s="45">
        <v>0</v>
      </c>
      <c r="AL138" s="40">
        <v>0</v>
      </c>
      <c r="AM138" s="41">
        <v>0</v>
      </c>
      <c r="AN138" s="45">
        <f t="shared" si="12"/>
        <v>0</v>
      </c>
      <c r="AO138" s="42"/>
      <c r="AP138" s="45">
        <v>0</v>
      </c>
      <c r="AQ138" s="40">
        <f t="shared" si="13"/>
        <v>0</v>
      </c>
      <c r="AR138" s="40">
        <f t="shared" si="14"/>
        <v>0</v>
      </c>
      <c r="AS138" s="40">
        <v>0</v>
      </c>
      <c r="AT138" s="40">
        <v>0</v>
      </c>
      <c r="AU138" s="40">
        <f t="shared" si="15"/>
        <v>0</v>
      </c>
      <c r="AV138" s="22"/>
      <c r="AW138" s="43"/>
    </row>
    <row r="139" spans="2:52">
      <c r="B139" s="37">
        <v>133</v>
      </c>
      <c r="C139" s="38" t="s">
        <v>1019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 t="s">
        <v>836</v>
      </c>
      <c r="O139" s="37">
        <v>32942379</v>
      </c>
      <c r="P139" s="132" t="s">
        <v>1020</v>
      </c>
      <c r="Q139" s="37"/>
      <c r="R139" s="132" t="s">
        <v>1021</v>
      </c>
      <c r="S139" s="37"/>
      <c r="T139" s="44">
        <v>34</v>
      </c>
      <c r="U139" s="37"/>
      <c r="V139" s="37" t="s">
        <v>845</v>
      </c>
      <c r="W139" s="37"/>
      <c r="X139" s="37"/>
      <c r="Y139" s="39"/>
      <c r="Z139" s="39"/>
      <c r="AA139" s="39"/>
      <c r="AB139" s="39"/>
      <c r="AC139" s="37" t="s">
        <v>19</v>
      </c>
      <c r="AD139" s="37"/>
      <c r="AE139" s="37"/>
      <c r="AF139" s="37" t="s">
        <v>702</v>
      </c>
      <c r="AG139" s="37" t="s">
        <v>841</v>
      </c>
      <c r="AH139" s="37"/>
      <c r="AI139" s="37" t="s">
        <v>20</v>
      </c>
      <c r="AJ139" s="21"/>
      <c r="AK139" s="45">
        <v>0</v>
      </c>
      <c r="AL139" s="40">
        <v>0</v>
      </c>
      <c r="AM139" s="41">
        <v>0</v>
      </c>
      <c r="AN139" s="45">
        <f t="shared" si="12"/>
        <v>0</v>
      </c>
      <c r="AO139" s="42"/>
      <c r="AP139" s="45">
        <v>0</v>
      </c>
      <c r="AQ139" s="40">
        <f t="shared" si="13"/>
        <v>0</v>
      </c>
      <c r="AR139" s="40">
        <f t="shared" si="14"/>
        <v>0</v>
      </c>
      <c r="AS139" s="40">
        <v>0</v>
      </c>
      <c r="AT139" s="40">
        <v>0</v>
      </c>
      <c r="AU139" s="40">
        <f t="shared" si="15"/>
        <v>0</v>
      </c>
      <c r="AV139" s="21"/>
      <c r="AW139" s="46"/>
    </row>
    <row r="140" spans="2:52">
      <c r="B140" s="37">
        <v>134</v>
      </c>
      <c r="C140" s="38" t="s">
        <v>1022</v>
      </c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 t="s">
        <v>836</v>
      </c>
      <c r="O140" s="132" t="s">
        <v>1023</v>
      </c>
      <c r="P140" s="37">
        <v>986660029</v>
      </c>
      <c r="Q140" s="37"/>
      <c r="R140" s="37" t="s">
        <v>1024</v>
      </c>
      <c r="S140" s="37"/>
      <c r="T140" s="44">
        <v>16</v>
      </c>
      <c r="U140" s="37"/>
      <c r="V140" s="37" t="s">
        <v>838</v>
      </c>
      <c r="W140" s="37"/>
      <c r="X140" s="37"/>
      <c r="Y140" s="39"/>
      <c r="Z140" s="39"/>
      <c r="AA140" s="39"/>
      <c r="AB140" s="39"/>
      <c r="AC140" s="37" t="s">
        <v>19</v>
      </c>
      <c r="AD140" s="37"/>
      <c r="AE140" s="37"/>
      <c r="AF140" s="37" t="s">
        <v>728</v>
      </c>
      <c r="AG140" s="37" t="s">
        <v>841</v>
      </c>
      <c r="AH140" s="37"/>
      <c r="AI140" s="37" t="s">
        <v>20</v>
      </c>
      <c r="AJ140" s="21"/>
      <c r="AK140" s="45">
        <v>0</v>
      </c>
      <c r="AL140" s="40">
        <v>0</v>
      </c>
      <c r="AM140" s="41">
        <v>0</v>
      </c>
      <c r="AN140" s="45">
        <f t="shared" si="12"/>
        <v>0</v>
      </c>
      <c r="AO140" s="42"/>
      <c r="AP140" s="45">
        <v>0</v>
      </c>
      <c r="AQ140" s="40">
        <f t="shared" si="13"/>
        <v>0</v>
      </c>
      <c r="AR140" s="40">
        <f t="shared" si="14"/>
        <v>0</v>
      </c>
      <c r="AS140" s="40">
        <v>0</v>
      </c>
      <c r="AT140" s="40">
        <v>0</v>
      </c>
      <c r="AU140" s="40">
        <f t="shared" si="15"/>
        <v>0</v>
      </c>
      <c r="AV140" s="22"/>
      <c r="AW140" s="43"/>
    </row>
    <row r="141" spans="2:52">
      <c r="B141" s="37">
        <v>135</v>
      </c>
      <c r="C141" s="38" t="s">
        <v>789</v>
      </c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 t="s">
        <v>836</v>
      </c>
      <c r="O141" s="37">
        <v>41507055</v>
      </c>
      <c r="P141" s="37"/>
      <c r="Q141" s="37"/>
      <c r="R141" s="37"/>
      <c r="S141" s="37"/>
      <c r="T141" s="44">
        <v>11</v>
      </c>
      <c r="U141" s="37"/>
      <c r="V141" s="37" t="s">
        <v>838</v>
      </c>
      <c r="W141" s="37"/>
      <c r="X141" s="37"/>
      <c r="Y141" s="39"/>
      <c r="Z141" s="39"/>
      <c r="AA141" s="39"/>
      <c r="AB141" s="39"/>
      <c r="AC141" s="37" t="s">
        <v>19</v>
      </c>
      <c r="AD141" s="37"/>
      <c r="AE141" s="37"/>
      <c r="AF141" s="37" t="s">
        <v>771</v>
      </c>
      <c r="AG141" s="37" t="s">
        <v>841</v>
      </c>
      <c r="AH141" s="37"/>
      <c r="AI141" s="37" t="s">
        <v>20</v>
      </c>
      <c r="AJ141" s="21"/>
      <c r="AK141" s="45">
        <v>0</v>
      </c>
      <c r="AL141" s="40">
        <v>0</v>
      </c>
      <c r="AM141" s="41">
        <v>0</v>
      </c>
      <c r="AN141" s="45">
        <f t="shared" si="12"/>
        <v>0</v>
      </c>
      <c r="AO141" s="42"/>
      <c r="AP141" s="45">
        <v>0</v>
      </c>
      <c r="AQ141" s="40">
        <f t="shared" si="13"/>
        <v>0</v>
      </c>
      <c r="AR141" s="40">
        <f t="shared" si="14"/>
        <v>0</v>
      </c>
      <c r="AS141" s="40">
        <v>0</v>
      </c>
      <c r="AT141" s="40">
        <v>0</v>
      </c>
      <c r="AU141" s="40">
        <f t="shared" si="15"/>
        <v>0</v>
      </c>
      <c r="AV141" s="21"/>
      <c r="AW141" s="46"/>
    </row>
    <row r="142" spans="2:52">
      <c r="B142" s="37">
        <v>136</v>
      </c>
      <c r="C142" s="38" t="s">
        <v>1025</v>
      </c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 t="s">
        <v>836</v>
      </c>
      <c r="O142" s="37">
        <v>21492225</v>
      </c>
      <c r="P142" s="37"/>
      <c r="Q142" s="37"/>
      <c r="R142" s="37"/>
      <c r="S142" s="37"/>
      <c r="T142" s="44">
        <v>8</v>
      </c>
      <c r="U142" s="37"/>
      <c r="V142" s="37" t="s">
        <v>838</v>
      </c>
      <c r="W142" s="37"/>
      <c r="X142" s="37"/>
      <c r="Y142" s="39"/>
      <c r="Z142" s="39"/>
      <c r="AA142" s="39"/>
      <c r="AB142" s="39"/>
      <c r="AC142" s="37" t="s">
        <v>19</v>
      </c>
      <c r="AD142" s="37"/>
      <c r="AE142" s="37"/>
      <c r="AF142" s="37" t="s">
        <v>758</v>
      </c>
      <c r="AG142" s="37" t="s">
        <v>841</v>
      </c>
      <c r="AH142" s="37"/>
      <c r="AI142" s="37" t="s">
        <v>25</v>
      </c>
      <c r="AJ142" s="21"/>
      <c r="AK142" s="45">
        <v>0</v>
      </c>
      <c r="AL142" s="40">
        <v>0</v>
      </c>
      <c r="AM142" s="41">
        <v>0</v>
      </c>
      <c r="AN142" s="45">
        <f t="shared" si="12"/>
        <v>0</v>
      </c>
      <c r="AO142" s="42"/>
      <c r="AP142" s="45">
        <v>0</v>
      </c>
      <c r="AQ142" s="40">
        <f t="shared" si="13"/>
        <v>0</v>
      </c>
      <c r="AR142" s="40">
        <f t="shared" si="14"/>
        <v>0</v>
      </c>
      <c r="AS142" s="40">
        <v>0</v>
      </c>
      <c r="AT142" s="40">
        <v>0</v>
      </c>
      <c r="AU142" s="40">
        <f t="shared" si="15"/>
        <v>0</v>
      </c>
      <c r="AV142" s="22"/>
      <c r="AW142" s="43"/>
    </row>
    <row r="143" spans="2:52">
      <c r="B143" s="37">
        <v>137</v>
      </c>
      <c r="C143" s="38" t="s">
        <v>1026</v>
      </c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 t="s">
        <v>836</v>
      </c>
      <c r="O143" s="37">
        <v>46335754</v>
      </c>
      <c r="P143" s="37"/>
      <c r="Q143" s="37"/>
      <c r="R143" s="37"/>
      <c r="S143" s="37"/>
      <c r="T143" s="44">
        <v>34</v>
      </c>
      <c r="U143" s="37"/>
      <c r="V143" s="37" t="s">
        <v>845</v>
      </c>
      <c r="W143" s="37"/>
      <c r="X143" s="37"/>
      <c r="Y143" s="39"/>
      <c r="Z143" s="39"/>
      <c r="AA143" s="39"/>
      <c r="AB143" s="39"/>
      <c r="AC143" s="37" t="s">
        <v>40</v>
      </c>
      <c r="AD143" s="37"/>
      <c r="AE143" s="37"/>
      <c r="AF143" s="37" t="s">
        <v>679</v>
      </c>
      <c r="AG143" s="37" t="s">
        <v>841</v>
      </c>
      <c r="AH143" s="37"/>
      <c r="AI143" s="37" t="s">
        <v>25</v>
      </c>
      <c r="AJ143" s="21"/>
      <c r="AK143" s="45">
        <v>0</v>
      </c>
      <c r="AL143" s="40">
        <v>0</v>
      </c>
      <c r="AM143" s="41">
        <v>0</v>
      </c>
      <c r="AN143" s="45">
        <f t="shared" si="12"/>
        <v>0</v>
      </c>
      <c r="AO143" s="42"/>
      <c r="AP143" s="45">
        <v>0</v>
      </c>
      <c r="AQ143" s="40">
        <f t="shared" si="13"/>
        <v>0</v>
      </c>
      <c r="AR143" s="40">
        <f t="shared" si="14"/>
        <v>0</v>
      </c>
      <c r="AS143" s="40">
        <v>0</v>
      </c>
      <c r="AT143" s="40">
        <v>0</v>
      </c>
      <c r="AU143" s="40">
        <f t="shared" si="15"/>
        <v>0</v>
      </c>
      <c r="AV143" s="21"/>
      <c r="AW143" s="46"/>
    </row>
    <row r="144" spans="2:52">
      <c r="B144" s="37">
        <v>138</v>
      </c>
      <c r="C144" s="38" t="s">
        <v>1027</v>
      </c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 t="s">
        <v>836</v>
      </c>
      <c r="O144" s="37">
        <v>21884432</v>
      </c>
      <c r="P144" s="37"/>
      <c r="Q144" s="37"/>
      <c r="R144" s="37"/>
      <c r="S144" s="37"/>
      <c r="T144" s="44">
        <v>12</v>
      </c>
      <c r="U144" s="37"/>
      <c r="V144" s="37" t="s">
        <v>838</v>
      </c>
      <c r="W144" s="37"/>
      <c r="X144" s="37"/>
      <c r="Y144" s="39"/>
      <c r="Z144" s="39"/>
      <c r="AA144" s="39"/>
      <c r="AB144" s="39"/>
      <c r="AC144" s="37" t="s">
        <v>19</v>
      </c>
      <c r="AD144" s="37"/>
      <c r="AE144" s="37"/>
      <c r="AF144" s="37" t="s">
        <v>925</v>
      </c>
      <c r="AG144" s="37" t="s">
        <v>841</v>
      </c>
      <c r="AH144" s="37"/>
      <c r="AI144" s="37" t="s">
        <v>41</v>
      </c>
      <c r="AJ144" s="21"/>
      <c r="AK144" s="45">
        <v>0</v>
      </c>
      <c r="AL144" s="40">
        <v>0</v>
      </c>
      <c r="AM144" s="41">
        <v>0</v>
      </c>
      <c r="AN144" s="45">
        <f t="shared" si="12"/>
        <v>0</v>
      </c>
      <c r="AO144" s="42"/>
      <c r="AP144" s="45">
        <v>0</v>
      </c>
      <c r="AQ144" s="40">
        <f t="shared" si="13"/>
        <v>0</v>
      </c>
      <c r="AR144" s="40">
        <f t="shared" si="14"/>
        <v>0</v>
      </c>
      <c r="AS144" s="40">
        <v>0</v>
      </c>
      <c r="AT144" s="40">
        <v>0</v>
      </c>
      <c r="AU144" s="40">
        <f t="shared" si="15"/>
        <v>0</v>
      </c>
      <c r="AV144" s="22"/>
      <c r="AW144" s="43"/>
    </row>
    <row r="145" spans="2:49">
      <c r="B145" s="37">
        <v>139</v>
      </c>
      <c r="C145" s="38" t="s">
        <v>1028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 t="s">
        <v>836</v>
      </c>
      <c r="O145" s="37">
        <v>21863698</v>
      </c>
      <c r="P145" s="37"/>
      <c r="Q145" s="37"/>
      <c r="R145" s="37"/>
      <c r="S145" s="37"/>
      <c r="T145" s="44">
        <v>17</v>
      </c>
      <c r="U145" s="37"/>
      <c r="V145" s="37" t="s">
        <v>838</v>
      </c>
      <c r="W145" s="37"/>
      <c r="X145" s="37"/>
      <c r="Y145" s="39"/>
      <c r="Z145" s="39"/>
      <c r="AA145" s="39"/>
      <c r="AB145" s="39"/>
      <c r="AC145" s="37" t="s">
        <v>19</v>
      </c>
      <c r="AD145" s="37"/>
      <c r="AE145" s="37"/>
      <c r="AF145" s="37" t="s">
        <v>758</v>
      </c>
      <c r="AG145" s="37" t="s">
        <v>856</v>
      </c>
      <c r="AH145" s="37"/>
      <c r="AI145" s="37" t="s">
        <v>25</v>
      </c>
      <c r="AJ145" s="21"/>
      <c r="AK145" s="45">
        <v>0</v>
      </c>
      <c r="AL145" s="40">
        <v>0</v>
      </c>
      <c r="AM145" s="41">
        <v>0</v>
      </c>
      <c r="AN145" s="45">
        <f t="shared" si="12"/>
        <v>0</v>
      </c>
      <c r="AO145" s="42"/>
      <c r="AP145" s="45">
        <v>0</v>
      </c>
      <c r="AQ145" s="40">
        <f t="shared" si="13"/>
        <v>0</v>
      </c>
      <c r="AR145" s="40">
        <f t="shared" si="14"/>
        <v>0</v>
      </c>
      <c r="AS145" s="40">
        <v>0</v>
      </c>
      <c r="AT145" s="40">
        <v>0</v>
      </c>
      <c r="AU145" s="40">
        <f t="shared" si="15"/>
        <v>0</v>
      </c>
      <c r="AV145" s="21"/>
      <c r="AW145" s="46"/>
    </row>
    <row r="146" spans="2:49">
      <c r="B146" s="37">
        <v>140</v>
      </c>
      <c r="C146" s="38" t="s">
        <v>1029</v>
      </c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 t="s">
        <v>836</v>
      </c>
      <c r="O146" s="37">
        <v>21447220</v>
      </c>
      <c r="P146" s="37"/>
      <c r="Q146" s="37"/>
      <c r="R146" s="37"/>
      <c r="S146" s="37"/>
      <c r="T146" s="44">
        <v>18</v>
      </c>
      <c r="U146" s="37"/>
      <c r="V146" s="37" t="s">
        <v>838</v>
      </c>
      <c r="W146" s="37"/>
      <c r="X146" s="37"/>
      <c r="Y146" s="39"/>
      <c r="Z146" s="39"/>
      <c r="AA146" s="39"/>
      <c r="AB146" s="39"/>
      <c r="AC146" s="37" t="s">
        <v>40</v>
      </c>
      <c r="AD146" s="37"/>
      <c r="AE146" s="37"/>
      <c r="AF146" s="37" t="s">
        <v>679</v>
      </c>
      <c r="AG146" s="37" t="s">
        <v>856</v>
      </c>
      <c r="AH146" s="37"/>
      <c r="AI146" s="37" t="s">
        <v>41</v>
      </c>
      <c r="AJ146" s="21"/>
      <c r="AK146" s="45">
        <v>0</v>
      </c>
      <c r="AL146" s="40">
        <v>0</v>
      </c>
      <c r="AM146" s="41">
        <v>0</v>
      </c>
      <c r="AN146" s="45">
        <f t="shared" si="12"/>
        <v>0</v>
      </c>
      <c r="AO146" s="42"/>
      <c r="AP146" s="45">
        <v>0</v>
      </c>
      <c r="AQ146" s="40">
        <f t="shared" si="13"/>
        <v>0</v>
      </c>
      <c r="AR146" s="40">
        <f t="shared" si="14"/>
        <v>0</v>
      </c>
      <c r="AS146" s="40">
        <v>0</v>
      </c>
      <c r="AT146" s="40">
        <v>0</v>
      </c>
      <c r="AU146" s="40">
        <f t="shared" si="15"/>
        <v>0</v>
      </c>
      <c r="AV146" s="22"/>
      <c r="AW146" s="43"/>
    </row>
    <row r="147" spans="2:49">
      <c r="B147" s="37">
        <v>141</v>
      </c>
      <c r="C147" s="38" t="s">
        <v>1030</v>
      </c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 t="s">
        <v>836</v>
      </c>
      <c r="O147" s="37">
        <v>41258221</v>
      </c>
      <c r="P147" s="37"/>
      <c r="Q147" s="37"/>
      <c r="R147" s="37"/>
      <c r="S147" s="37"/>
      <c r="T147" s="44">
        <v>5</v>
      </c>
      <c r="U147" s="37"/>
      <c r="V147" s="37" t="s">
        <v>838</v>
      </c>
      <c r="W147" s="37"/>
      <c r="X147" s="37"/>
      <c r="Y147" s="39"/>
      <c r="Z147" s="39"/>
      <c r="AA147" s="39"/>
      <c r="AB147" s="39"/>
      <c r="AC147" s="37" t="s">
        <v>40</v>
      </c>
      <c r="AD147" s="37"/>
      <c r="AE147" s="37"/>
      <c r="AF147" s="37" t="s">
        <v>763</v>
      </c>
      <c r="AG147" s="37" t="s">
        <v>841</v>
      </c>
      <c r="AH147" s="37"/>
      <c r="AI147" s="37" t="s">
        <v>20</v>
      </c>
      <c r="AJ147" s="21"/>
      <c r="AK147" s="45">
        <v>0</v>
      </c>
      <c r="AL147" s="40">
        <v>0</v>
      </c>
      <c r="AM147" s="41">
        <v>0</v>
      </c>
      <c r="AN147" s="45">
        <f t="shared" si="12"/>
        <v>0</v>
      </c>
      <c r="AO147" s="42"/>
      <c r="AP147" s="45">
        <v>0</v>
      </c>
      <c r="AQ147" s="40">
        <f t="shared" si="13"/>
        <v>0</v>
      </c>
      <c r="AR147" s="40">
        <f t="shared" si="14"/>
        <v>0</v>
      </c>
      <c r="AS147" s="40">
        <v>0</v>
      </c>
      <c r="AT147" s="40">
        <v>0</v>
      </c>
      <c r="AU147" s="40">
        <f t="shared" si="15"/>
        <v>0</v>
      </c>
      <c r="AV147" s="21"/>
      <c r="AW147" s="46"/>
    </row>
    <row r="148" spans="2:49">
      <c r="B148" s="37">
        <v>142</v>
      </c>
      <c r="C148" s="38" t="s">
        <v>1031</v>
      </c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 t="s">
        <v>836</v>
      </c>
      <c r="O148" s="37">
        <v>45609294</v>
      </c>
      <c r="P148" s="37"/>
      <c r="Q148" s="37"/>
      <c r="R148" s="37"/>
      <c r="S148" s="37"/>
      <c r="T148" s="44">
        <v>28</v>
      </c>
      <c r="U148" s="37"/>
      <c r="V148" s="37" t="s">
        <v>845</v>
      </c>
      <c r="W148" s="37"/>
      <c r="X148" s="37"/>
      <c r="Y148" s="39"/>
      <c r="Z148" s="39"/>
      <c r="AA148" s="39"/>
      <c r="AB148" s="39"/>
      <c r="AC148" s="37" t="s">
        <v>40</v>
      </c>
      <c r="AD148" s="37"/>
      <c r="AE148" s="37"/>
      <c r="AF148" s="37" t="s">
        <v>679</v>
      </c>
      <c r="AG148" s="37" t="s">
        <v>841</v>
      </c>
      <c r="AH148" s="37"/>
      <c r="AI148" s="37" t="s">
        <v>25</v>
      </c>
      <c r="AJ148" s="21"/>
      <c r="AK148" s="45">
        <v>0</v>
      </c>
      <c r="AL148" s="40">
        <v>0</v>
      </c>
      <c r="AM148" s="41">
        <v>0</v>
      </c>
      <c r="AN148" s="45">
        <f t="shared" si="12"/>
        <v>0</v>
      </c>
      <c r="AO148" s="42"/>
      <c r="AP148" s="45">
        <v>0</v>
      </c>
      <c r="AQ148" s="40">
        <f t="shared" si="13"/>
        <v>0</v>
      </c>
      <c r="AR148" s="40">
        <f t="shared" si="14"/>
        <v>0</v>
      </c>
      <c r="AS148" s="40">
        <v>0</v>
      </c>
      <c r="AT148" s="40">
        <v>0</v>
      </c>
      <c r="AU148" s="40">
        <f t="shared" si="15"/>
        <v>0</v>
      </c>
      <c r="AV148" s="22"/>
      <c r="AW148" s="43"/>
    </row>
    <row r="149" spans="2:49">
      <c r="B149" s="37">
        <v>143</v>
      </c>
      <c r="C149" s="38" t="s">
        <v>1032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 t="s">
        <v>836</v>
      </c>
      <c r="O149" s="37">
        <v>21886134</v>
      </c>
      <c r="P149" s="132">
        <v>943402548</v>
      </c>
      <c r="Q149" s="37"/>
      <c r="R149" s="132" t="s">
        <v>1033</v>
      </c>
      <c r="S149" s="37"/>
      <c r="T149" s="44">
        <v>19</v>
      </c>
      <c r="U149" s="37"/>
      <c r="V149" s="37" t="s">
        <v>838</v>
      </c>
      <c r="W149" s="37"/>
      <c r="X149" s="37"/>
      <c r="Y149" s="39"/>
      <c r="Z149" s="39"/>
      <c r="AA149" s="39"/>
      <c r="AB149" s="39"/>
      <c r="AC149" s="37" t="s">
        <v>19</v>
      </c>
      <c r="AD149" s="37"/>
      <c r="AE149" s="37"/>
      <c r="AF149" s="37" t="s">
        <v>702</v>
      </c>
      <c r="AG149" s="37" t="s">
        <v>841</v>
      </c>
      <c r="AH149" s="37"/>
      <c r="AI149" s="37" t="s">
        <v>32</v>
      </c>
      <c r="AJ149" s="21"/>
      <c r="AK149" s="45">
        <v>0</v>
      </c>
      <c r="AL149" s="40">
        <v>0</v>
      </c>
      <c r="AM149" s="41">
        <v>0</v>
      </c>
      <c r="AN149" s="45">
        <f t="shared" si="12"/>
        <v>0</v>
      </c>
      <c r="AO149" s="42"/>
      <c r="AP149" s="45">
        <v>0</v>
      </c>
      <c r="AQ149" s="40">
        <f t="shared" si="13"/>
        <v>0</v>
      </c>
      <c r="AR149" s="40">
        <f t="shared" si="14"/>
        <v>0</v>
      </c>
      <c r="AS149" s="40">
        <v>0</v>
      </c>
      <c r="AT149" s="40">
        <v>0</v>
      </c>
      <c r="AU149" s="40">
        <f t="shared" si="15"/>
        <v>0</v>
      </c>
      <c r="AV149" s="21"/>
      <c r="AW149" s="46"/>
    </row>
    <row r="150" spans="2:49">
      <c r="B150" s="37">
        <v>144</v>
      </c>
      <c r="C150" s="38" t="s">
        <v>1034</v>
      </c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 t="s">
        <v>836</v>
      </c>
      <c r="O150" s="37">
        <v>17535600</v>
      </c>
      <c r="P150" s="132">
        <v>998917706</v>
      </c>
      <c r="Q150" s="37"/>
      <c r="R150" s="132" t="s">
        <v>1035</v>
      </c>
      <c r="S150" s="37"/>
      <c r="T150" s="44">
        <v>18</v>
      </c>
      <c r="U150" s="37"/>
      <c r="V150" s="37" t="s">
        <v>838</v>
      </c>
      <c r="W150" s="37"/>
      <c r="X150" s="37"/>
      <c r="Y150" s="39"/>
      <c r="Z150" s="39"/>
      <c r="AA150" s="39"/>
      <c r="AB150" s="39"/>
      <c r="AC150" s="37" t="s">
        <v>19</v>
      </c>
      <c r="AD150" s="37"/>
      <c r="AE150" s="37"/>
      <c r="AF150" s="37" t="s">
        <v>702</v>
      </c>
      <c r="AG150" s="37" t="s">
        <v>841</v>
      </c>
      <c r="AH150" s="37"/>
      <c r="AI150" s="37" t="s">
        <v>20</v>
      </c>
      <c r="AJ150" s="21"/>
      <c r="AK150" s="45">
        <v>0</v>
      </c>
      <c r="AL150" s="40">
        <v>0</v>
      </c>
      <c r="AM150" s="41">
        <v>0</v>
      </c>
      <c r="AN150" s="45">
        <f t="shared" si="12"/>
        <v>0</v>
      </c>
      <c r="AO150" s="42"/>
      <c r="AP150" s="45">
        <v>0</v>
      </c>
      <c r="AQ150" s="40">
        <f t="shared" si="13"/>
        <v>0</v>
      </c>
      <c r="AR150" s="40">
        <f t="shared" si="14"/>
        <v>0</v>
      </c>
      <c r="AS150" s="40">
        <v>0</v>
      </c>
      <c r="AT150" s="40">
        <v>0</v>
      </c>
      <c r="AU150" s="40">
        <f t="shared" si="15"/>
        <v>0</v>
      </c>
      <c r="AV150" s="22"/>
      <c r="AW150" s="43"/>
    </row>
    <row r="151" spans="2:49">
      <c r="B151" s="37">
        <v>145</v>
      </c>
      <c r="C151" s="38" t="s">
        <v>1036</v>
      </c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 t="s">
        <v>836</v>
      </c>
      <c r="O151" s="37">
        <v>42711623</v>
      </c>
      <c r="P151" s="37"/>
      <c r="Q151" s="37"/>
      <c r="R151" s="37"/>
      <c r="S151" s="37"/>
      <c r="T151" s="44">
        <v>30</v>
      </c>
      <c r="U151" s="37"/>
      <c r="V151" s="37" t="s">
        <v>845</v>
      </c>
      <c r="W151" s="37"/>
      <c r="X151" s="37"/>
      <c r="Y151" s="39"/>
      <c r="Z151" s="39"/>
      <c r="AA151" s="39"/>
      <c r="AB151" s="39"/>
      <c r="AC151" s="37" t="s">
        <v>40</v>
      </c>
      <c r="AD151" s="37"/>
      <c r="AE151" s="37"/>
      <c r="AF151" s="37" t="s">
        <v>752</v>
      </c>
      <c r="AG151" s="37" t="s">
        <v>841</v>
      </c>
      <c r="AH151" s="37"/>
      <c r="AI151" s="37" t="s">
        <v>25</v>
      </c>
      <c r="AJ151" s="21"/>
      <c r="AK151" s="45">
        <v>0</v>
      </c>
      <c r="AL151" s="40">
        <v>0</v>
      </c>
      <c r="AM151" s="41">
        <v>0</v>
      </c>
      <c r="AN151" s="45">
        <f t="shared" si="12"/>
        <v>0</v>
      </c>
      <c r="AO151" s="42"/>
      <c r="AP151" s="45">
        <v>0</v>
      </c>
      <c r="AQ151" s="40">
        <f t="shared" si="13"/>
        <v>0</v>
      </c>
      <c r="AR151" s="40">
        <f t="shared" si="14"/>
        <v>0</v>
      </c>
      <c r="AS151" s="40">
        <v>0</v>
      </c>
      <c r="AT151" s="40">
        <v>0</v>
      </c>
      <c r="AU151" s="40">
        <f t="shared" si="15"/>
        <v>0</v>
      </c>
      <c r="AV151" s="21"/>
      <c r="AW151" s="46"/>
    </row>
    <row r="152" spans="2:49">
      <c r="B152" s="37">
        <v>146</v>
      </c>
      <c r="C152" s="38" t="s">
        <v>1037</v>
      </c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 t="s">
        <v>836</v>
      </c>
      <c r="O152" s="37">
        <v>41112631</v>
      </c>
      <c r="P152" s="37">
        <v>997905239</v>
      </c>
      <c r="Q152" s="37" t="s">
        <v>1038</v>
      </c>
      <c r="R152" s="37" t="s">
        <v>1039</v>
      </c>
      <c r="S152" s="37"/>
      <c r="T152" s="44">
        <v>14</v>
      </c>
      <c r="U152" s="37"/>
      <c r="V152" s="37" t="s">
        <v>838</v>
      </c>
      <c r="W152" s="37"/>
      <c r="X152" s="37"/>
      <c r="Y152" s="39"/>
      <c r="Z152" s="39"/>
      <c r="AA152" s="39"/>
      <c r="AB152" s="39"/>
      <c r="AC152" s="37" t="s">
        <v>19</v>
      </c>
      <c r="AD152" s="37"/>
      <c r="AE152" s="37"/>
      <c r="AF152" s="37" t="s">
        <v>728</v>
      </c>
      <c r="AG152" s="37" t="s">
        <v>841</v>
      </c>
      <c r="AH152" s="37"/>
      <c r="AI152" s="37" t="s">
        <v>41</v>
      </c>
      <c r="AJ152" s="21"/>
      <c r="AK152" s="45">
        <v>0</v>
      </c>
      <c r="AL152" s="40">
        <v>0</v>
      </c>
      <c r="AM152" s="41">
        <v>0</v>
      </c>
      <c r="AN152" s="45">
        <f t="shared" si="12"/>
        <v>0</v>
      </c>
      <c r="AO152" s="42"/>
      <c r="AP152" s="45">
        <v>0</v>
      </c>
      <c r="AQ152" s="40">
        <f t="shared" si="13"/>
        <v>0</v>
      </c>
      <c r="AR152" s="40">
        <f t="shared" si="14"/>
        <v>0</v>
      </c>
      <c r="AS152" s="40">
        <v>0</v>
      </c>
      <c r="AT152" s="40">
        <v>0</v>
      </c>
      <c r="AU152" s="40">
        <f t="shared" si="15"/>
        <v>0</v>
      </c>
      <c r="AV152" s="22"/>
      <c r="AW152" s="43"/>
    </row>
    <row r="153" spans="2:49">
      <c r="B153" s="37">
        <v>147</v>
      </c>
      <c r="C153" s="38" t="s">
        <v>1040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 t="s">
        <v>836</v>
      </c>
      <c r="O153" s="37">
        <v>72687785</v>
      </c>
      <c r="P153" s="37"/>
      <c r="Q153" s="37"/>
      <c r="R153" s="37"/>
      <c r="S153" s="37"/>
      <c r="T153" s="44">
        <v>5</v>
      </c>
      <c r="U153" s="37"/>
      <c r="V153" s="37" t="s">
        <v>838</v>
      </c>
      <c r="W153" s="37"/>
      <c r="X153" s="37"/>
      <c r="Y153" s="39"/>
      <c r="Z153" s="39"/>
      <c r="AA153" s="39"/>
      <c r="AB153" s="39"/>
      <c r="AC153" s="37" t="s">
        <v>40</v>
      </c>
      <c r="AD153" s="37"/>
      <c r="AE153" s="37"/>
      <c r="AF153" s="37" t="s">
        <v>752</v>
      </c>
      <c r="AG153" s="37" t="s">
        <v>841</v>
      </c>
      <c r="AH153" s="37"/>
      <c r="AI153" s="37" t="s">
        <v>32</v>
      </c>
      <c r="AJ153" s="21"/>
      <c r="AK153" s="45">
        <v>0</v>
      </c>
      <c r="AL153" s="40">
        <v>0</v>
      </c>
      <c r="AM153" s="41">
        <v>0</v>
      </c>
      <c r="AN153" s="45">
        <f t="shared" si="12"/>
        <v>0</v>
      </c>
      <c r="AO153" s="42"/>
      <c r="AP153" s="45">
        <v>0</v>
      </c>
      <c r="AQ153" s="40">
        <f t="shared" si="13"/>
        <v>0</v>
      </c>
      <c r="AR153" s="40">
        <f t="shared" si="14"/>
        <v>0</v>
      </c>
      <c r="AS153" s="40">
        <v>0</v>
      </c>
      <c r="AT153" s="40">
        <v>0</v>
      </c>
      <c r="AU153" s="40">
        <f t="shared" si="15"/>
        <v>0</v>
      </c>
      <c r="AV153" s="21"/>
      <c r="AW153" s="46"/>
    </row>
    <row r="154" spans="2:49">
      <c r="B154" s="37">
        <v>148</v>
      </c>
      <c r="C154" s="38" t="s">
        <v>457</v>
      </c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 t="s">
        <v>836</v>
      </c>
      <c r="O154" s="132">
        <v>21575934</v>
      </c>
      <c r="P154" s="37">
        <v>956106541</v>
      </c>
      <c r="Q154" s="37" t="s">
        <v>1041</v>
      </c>
      <c r="R154" s="37" t="s">
        <v>458</v>
      </c>
      <c r="S154" s="37"/>
      <c r="T154" s="44">
        <v>5</v>
      </c>
      <c r="U154" s="37"/>
      <c r="V154" s="37" t="s">
        <v>838</v>
      </c>
      <c r="W154" s="37"/>
      <c r="X154" s="37"/>
      <c r="Y154" s="39"/>
      <c r="Z154" s="39"/>
      <c r="AA154" s="39"/>
      <c r="AB154" s="39"/>
      <c r="AC154" s="37" t="s">
        <v>19</v>
      </c>
      <c r="AD154" s="37"/>
      <c r="AE154" s="37"/>
      <c r="AF154" s="37" t="s">
        <v>683</v>
      </c>
      <c r="AG154" s="37" t="s">
        <v>841</v>
      </c>
      <c r="AH154" s="37"/>
      <c r="AI154" s="37" t="s">
        <v>20</v>
      </c>
      <c r="AJ154" s="21"/>
      <c r="AK154" s="45">
        <v>0</v>
      </c>
      <c r="AL154" s="40">
        <v>0</v>
      </c>
      <c r="AM154" s="41">
        <v>0</v>
      </c>
      <c r="AN154" s="45">
        <f t="shared" si="12"/>
        <v>0</v>
      </c>
      <c r="AO154" s="42"/>
      <c r="AP154" s="45">
        <v>0</v>
      </c>
      <c r="AQ154" s="40">
        <f t="shared" si="13"/>
        <v>0</v>
      </c>
      <c r="AR154" s="40">
        <f t="shared" si="14"/>
        <v>0</v>
      </c>
      <c r="AS154" s="40">
        <v>0</v>
      </c>
      <c r="AT154" s="40">
        <v>0</v>
      </c>
      <c r="AU154" s="40">
        <f t="shared" si="15"/>
        <v>0</v>
      </c>
      <c r="AV154" s="22"/>
      <c r="AW154" s="43"/>
    </row>
    <row r="155" spans="2:49">
      <c r="B155" s="37">
        <v>149</v>
      </c>
      <c r="C155" s="38" t="s">
        <v>1042</v>
      </c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 t="s">
        <v>836</v>
      </c>
      <c r="O155" s="132">
        <v>15357430</v>
      </c>
      <c r="P155" s="37"/>
      <c r="Q155" s="37"/>
      <c r="R155" s="37"/>
      <c r="S155" s="37"/>
      <c r="T155" s="44">
        <v>11</v>
      </c>
      <c r="U155" s="37"/>
      <c r="V155" s="37" t="s">
        <v>838</v>
      </c>
      <c r="W155" s="37"/>
      <c r="X155" s="37"/>
      <c r="Y155" s="39"/>
      <c r="Z155" s="39"/>
      <c r="AA155" s="39"/>
      <c r="AB155" s="39"/>
      <c r="AC155" s="37" t="s">
        <v>19</v>
      </c>
      <c r="AD155" s="37"/>
      <c r="AE155" s="37"/>
      <c r="AF155" s="37" t="s">
        <v>710</v>
      </c>
      <c r="AG155" s="37" t="s">
        <v>841</v>
      </c>
      <c r="AH155" s="37"/>
      <c r="AI155" s="37" t="s">
        <v>32</v>
      </c>
    </row>
    <row r="156" spans="2:49">
      <c r="B156" s="37">
        <v>150</v>
      </c>
      <c r="C156" s="38" t="s">
        <v>1043</v>
      </c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 t="s">
        <v>836</v>
      </c>
      <c r="O156" s="37">
        <v>40497460</v>
      </c>
      <c r="P156" s="37"/>
      <c r="Q156" s="37"/>
      <c r="R156" s="37"/>
      <c r="S156" s="37"/>
      <c r="T156" s="44">
        <v>17</v>
      </c>
      <c r="U156" s="37"/>
      <c r="V156" s="37" t="s">
        <v>838</v>
      </c>
      <c r="W156" s="37"/>
      <c r="X156" s="37"/>
      <c r="Y156" s="39"/>
      <c r="Z156" s="39"/>
      <c r="AA156" s="39"/>
      <c r="AB156" s="39"/>
      <c r="AC156" s="37" t="s">
        <v>40</v>
      </c>
      <c r="AD156" s="37"/>
      <c r="AE156" s="37"/>
      <c r="AF156" s="37" t="s">
        <v>679</v>
      </c>
      <c r="AG156" s="37" t="s">
        <v>841</v>
      </c>
      <c r="AH156" s="37"/>
      <c r="AI156" s="37" t="s">
        <v>25</v>
      </c>
    </row>
    <row r="157" spans="2:49">
      <c r="B157" s="37">
        <v>151</v>
      </c>
      <c r="C157" s="38" t="s">
        <v>1044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 t="s">
        <v>836</v>
      </c>
      <c r="O157" s="37">
        <v>71883055</v>
      </c>
      <c r="P157" s="52">
        <v>953734314</v>
      </c>
      <c r="Q157" s="37"/>
      <c r="R157" s="132" t="s">
        <v>1045</v>
      </c>
      <c r="S157" s="37"/>
      <c r="T157" s="44">
        <v>13</v>
      </c>
      <c r="U157" s="37"/>
      <c r="V157" s="37" t="s">
        <v>845</v>
      </c>
      <c r="W157" s="37"/>
      <c r="X157" s="37"/>
      <c r="Y157" s="39"/>
      <c r="Z157" s="39"/>
      <c r="AA157" s="39"/>
      <c r="AB157" s="39"/>
      <c r="AC157" s="37" t="s">
        <v>19</v>
      </c>
      <c r="AD157" s="37"/>
      <c r="AE157" s="37"/>
      <c r="AF157" s="37" t="s">
        <v>771</v>
      </c>
      <c r="AG157" s="37" t="s">
        <v>856</v>
      </c>
      <c r="AH157" s="37"/>
      <c r="AI157" s="37" t="s">
        <v>32</v>
      </c>
    </row>
    <row r="158" spans="2:49">
      <c r="B158" s="37">
        <v>152</v>
      </c>
      <c r="C158" s="38" t="s">
        <v>1046</v>
      </c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 t="s">
        <v>836</v>
      </c>
      <c r="O158" s="37">
        <v>21813726</v>
      </c>
      <c r="P158" s="37">
        <v>921264178</v>
      </c>
      <c r="Q158" s="37" t="s">
        <v>1047</v>
      </c>
      <c r="R158" s="37" t="s">
        <v>1048</v>
      </c>
      <c r="S158" s="37"/>
      <c r="T158" s="44">
        <v>37</v>
      </c>
      <c r="U158" s="37"/>
      <c r="V158" s="37" t="s">
        <v>845</v>
      </c>
      <c r="W158" s="37"/>
      <c r="X158" s="37"/>
      <c r="Y158" s="39"/>
      <c r="Z158" s="39"/>
      <c r="AA158" s="39"/>
      <c r="AB158" s="39"/>
      <c r="AC158" s="37" t="s">
        <v>19</v>
      </c>
      <c r="AD158" s="37"/>
      <c r="AE158" s="37"/>
      <c r="AF158" s="37" t="s">
        <v>683</v>
      </c>
      <c r="AG158" s="37" t="s">
        <v>841</v>
      </c>
      <c r="AH158" s="37"/>
      <c r="AI158" s="37" t="s">
        <v>25</v>
      </c>
    </row>
    <row r="159" spans="2:49">
      <c r="B159" s="37">
        <v>153</v>
      </c>
      <c r="C159" s="38" t="s">
        <v>1049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 t="s">
        <v>836</v>
      </c>
      <c r="O159" s="37">
        <v>41959229</v>
      </c>
      <c r="P159" s="37"/>
      <c r="Q159" s="37"/>
      <c r="R159" s="37"/>
      <c r="S159" s="37"/>
      <c r="T159" s="44">
        <v>4</v>
      </c>
      <c r="U159" s="37"/>
      <c r="V159" s="37" t="s">
        <v>838</v>
      </c>
      <c r="W159" s="37"/>
      <c r="X159" s="37"/>
      <c r="Y159" s="39"/>
      <c r="Z159" s="39"/>
      <c r="AA159" s="39"/>
      <c r="AB159" s="39"/>
      <c r="AC159" s="37" t="s">
        <v>40</v>
      </c>
      <c r="AD159" s="37"/>
      <c r="AE159" s="37"/>
      <c r="AF159" s="37" t="s">
        <v>710</v>
      </c>
      <c r="AG159" s="37" t="s">
        <v>841</v>
      </c>
      <c r="AH159" s="37"/>
      <c r="AI159" s="37" t="s">
        <v>32</v>
      </c>
    </row>
    <row r="160" spans="2:49">
      <c r="B160" s="37">
        <v>154</v>
      </c>
      <c r="C160" s="38" t="s">
        <v>1050</v>
      </c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 t="s">
        <v>836</v>
      </c>
      <c r="O160" s="37">
        <v>42627418</v>
      </c>
      <c r="P160" s="37" t="s">
        <v>1051</v>
      </c>
      <c r="Q160" s="37" t="s">
        <v>1052</v>
      </c>
      <c r="R160" s="37" t="s">
        <v>1053</v>
      </c>
      <c r="S160" s="37"/>
      <c r="T160" s="44">
        <v>13</v>
      </c>
      <c r="U160" s="37"/>
      <c r="V160" s="37" t="s">
        <v>838</v>
      </c>
      <c r="W160" s="37"/>
      <c r="X160" s="37"/>
      <c r="Y160" s="39"/>
      <c r="Z160" s="39"/>
      <c r="AA160" s="39"/>
      <c r="AB160" s="39"/>
      <c r="AC160" s="37" t="s">
        <v>19</v>
      </c>
      <c r="AD160" s="37"/>
      <c r="AE160" s="37"/>
      <c r="AF160" s="37" t="s">
        <v>728</v>
      </c>
      <c r="AG160" s="37" t="s">
        <v>856</v>
      </c>
      <c r="AH160" s="37"/>
      <c r="AI160" s="37" t="s">
        <v>20</v>
      </c>
    </row>
    <row r="161" spans="2:35">
      <c r="B161" s="37">
        <v>155</v>
      </c>
      <c r="C161" s="38" t="s">
        <v>1054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 t="s">
        <v>836</v>
      </c>
      <c r="O161" s="37">
        <v>41076019</v>
      </c>
      <c r="P161" s="132">
        <v>994350763</v>
      </c>
      <c r="Q161" s="37"/>
      <c r="R161" s="132" t="s">
        <v>1055</v>
      </c>
      <c r="S161" s="37"/>
      <c r="T161" s="44">
        <v>29</v>
      </c>
      <c r="U161" s="37"/>
      <c r="V161" s="37" t="s">
        <v>845</v>
      </c>
      <c r="W161" s="37"/>
      <c r="X161" s="37"/>
      <c r="Y161" s="39"/>
      <c r="Z161" s="39"/>
      <c r="AA161" s="39"/>
      <c r="AB161" s="39"/>
      <c r="AC161" s="37" t="s">
        <v>19</v>
      </c>
      <c r="AD161" s="37"/>
      <c r="AE161" s="37"/>
      <c r="AF161" s="37" t="s">
        <v>771</v>
      </c>
      <c r="AG161" s="37" t="s">
        <v>841</v>
      </c>
      <c r="AH161" s="37"/>
      <c r="AI161" s="37" t="s">
        <v>25</v>
      </c>
    </row>
    <row r="162" spans="2:35">
      <c r="B162" s="37">
        <v>156</v>
      </c>
      <c r="C162" s="38" t="s">
        <v>790</v>
      </c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 t="s">
        <v>836</v>
      </c>
      <c r="O162" s="37">
        <v>42734786</v>
      </c>
      <c r="P162" s="37"/>
      <c r="Q162" s="37"/>
      <c r="R162" s="37"/>
      <c r="S162" s="37"/>
      <c r="T162" s="44">
        <v>18</v>
      </c>
      <c r="U162" s="37"/>
      <c r="V162" s="37" t="s">
        <v>838</v>
      </c>
      <c r="W162" s="37"/>
      <c r="X162" s="37"/>
      <c r="Y162" s="39"/>
      <c r="Z162" s="39"/>
      <c r="AA162" s="39"/>
      <c r="AB162" s="39"/>
      <c r="AC162" s="37" t="s">
        <v>19</v>
      </c>
      <c r="AD162" s="37"/>
      <c r="AE162" s="37"/>
      <c r="AF162" s="37" t="s">
        <v>771</v>
      </c>
      <c r="AG162" s="37" t="s">
        <v>841</v>
      </c>
      <c r="AH162" s="37"/>
      <c r="AI162" s="37" t="s">
        <v>32</v>
      </c>
    </row>
    <row r="163" spans="2:35">
      <c r="B163" s="37">
        <v>157</v>
      </c>
      <c r="C163" s="38" t="s">
        <v>1056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 t="s">
        <v>836</v>
      </c>
      <c r="O163" s="37">
        <v>21530042</v>
      </c>
      <c r="P163" s="37"/>
      <c r="Q163" s="37"/>
      <c r="R163" s="37"/>
      <c r="S163" s="37"/>
      <c r="T163" s="44">
        <v>10</v>
      </c>
      <c r="U163" s="37"/>
      <c r="V163" s="37" t="s">
        <v>838</v>
      </c>
      <c r="W163" s="37"/>
      <c r="X163" s="37"/>
      <c r="Y163" s="39"/>
      <c r="Z163" s="39"/>
      <c r="AA163" s="39"/>
      <c r="AB163" s="39"/>
      <c r="AC163" s="37" t="s">
        <v>19</v>
      </c>
      <c r="AD163" s="37"/>
      <c r="AE163" s="37"/>
      <c r="AF163" s="37" t="s">
        <v>758</v>
      </c>
      <c r="AG163" s="37" t="s">
        <v>856</v>
      </c>
      <c r="AH163" s="37"/>
      <c r="AI163" s="37" t="s">
        <v>32</v>
      </c>
    </row>
    <row r="164" spans="2:35">
      <c r="B164" s="37">
        <v>158</v>
      </c>
      <c r="C164" s="38" t="s">
        <v>1057</v>
      </c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 t="s">
        <v>836</v>
      </c>
      <c r="O164" s="37">
        <v>21869681</v>
      </c>
      <c r="P164" s="52">
        <v>949411600</v>
      </c>
      <c r="Q164" s="37"/>
      <c r="R164" s="147" t="s">
        <v>1058</v>
      </c>
      <c r="S164" s="37"/>
      <c r="T164" s="44">
        <v>16</v>
      </c>
      <c r="U164" s="37"/>
      <c r="V164" s="37" t="s">
        <v>838</v>
      </c>
      <c r="W164" s="37"/>
      <c r="X164" s="37"/>
      <c r="Y164" s="39"/>
      <c r="Z164" s="39"/>
      <c r="AA164" s="39"/>
      <c r="AB164" s="39"/>
      <c r="AC164" s="37" t="s">
        <v>19</v>
      </c>
      <c r="AD164" s="37"/>
      <c r="AE164" s="37"/>
      <c r="AF164" s="37" t="s">
        <v>771</v>
      </c>
      <c r="AG164" s="37" t="s">
        <v>856</v>
      </c>
      <c r="AH164" s="37"/>
      <c r="AI164" s="37" t="s">
        <v>32</v>
      </c>
    </row>
    <row r="165" spans="2:35">
      <c r="B165" s="37">
        <v>159</v>
      </c>
      <c r="C165" s="38" t="s">
        <v>1059</v>
      </c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 t="s">
        <v>836</v>
      </c>
      <c r="O165" s="37">
        <v>40744353</v>
      </c>
      <c r="P165" s="132">
        <v>917739112</v>
      </c>
      <c r="Q165" s="37"/>
      <c r="R165" s="132" t="s">
        <v>1060</v>
      </c>
      <c r="S165" s="37"/>
      <c r="T165" s="44">
        <v>18</v>
      </c>
      <c r="U165" s="37"/>
      <c r="V165" s="37" t="s">
        <v>838</v>
      </c>
      <c r="W165" s="37"/>
      <c r="X165" s="37"/>
      <c r="Y165" s="39"/>
      <c r="Z165" s="39"/>
      <c r="AA165" s="39"/>
      <c r="AB165" s="39"/>
      <c r="AC165" s="37" t="s">
        <v>19</v>
      </c>
      <c r="AD165" s="37"/>
      <c r="AE165" s="37"/>
      <c r="AF165" s="37" t="s">
        <v>702</v>
      </c>
      <c r="AG165" s="37" t="s">
        <v>841</v>
      </c>
      <c r="AH165" s="37"/>
      <c r="AI165" s="37" t="s">
        <v>32</v>
      </c>
    </row>
    <row r="166" spans="2:35">
      <c r="B166" s="37">
        <v>160</v>
      </c>
      <c r="C166" s="38" t="s">
        <v>1061</v>
      </c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 t="s">
        <v>836</v>
      </c>
      <c r="O166" s="37">
        <v>21517153</v>
      </c>
      <c r="P166" s="132">
        <v>955901701</v>
      </c>
      <c r="Q166" s="37"/>
      <c r="R166" s="132" t="s">
        <v>1062</v>
      </c>
      <c r="S166" s="37"/>
      <c r="T166" s="44">
        <v>14</v>
      </c>
      <c r="U166" s="37"/>
      <c r="V166" s="37" t="s">
        <v>838</v>
      </c>
      <c r="W166" s="37"/>
      <c r="X166" s="37"/>
      <c r="Y166" s="39"/>
      <c r="Z166" s="39"/>
      <c r="AA166" s="39"/>
      <c r="AB166" s="39"/>
      <c r="AC166" s="37" t="s">
        <v>19</v>
      </c>
      <c r="AD166" s="37"/>
      <c r="AE166" s="37"/>
      <c r="AF166" s="37" t="s">
        <v>702</v>
      </c>
      <c r="AG166" s="37" t="s">
        <v>856</v>
      </c>
      <c r="AH166" s="37"/>
      <c r="AI166" s="37" t="s">
        <v>32</v>
      </c>
    </row>
    <row r="167" spans="2:35">
      <c r="B167" s="37">
        <v>161</v>
      </c>
      <c r="C167" s="38" t="s">
        <v>1063</v>
      </c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 t="s">
        <v>836</v>
      </c>
      <c r="O167" s="132">
        <v>6187939</v>
      </c>
      <c r="P167" s="37"/>
      <c r="Q167" s="37"/>
      <c r="R167" s="37"/>
      <c r="S167" s="37"/>
      <c r="T167" s="44">
        <v>32</v>
      </c>
      <c r="U167" s="37"/>
      <c r="V167" s="37" t="s">
        <v>845</v>
      </c>
      <c r="W167" s="37"/>
      <c r="X167" s="37"/>
      <c r="Y167" s="39"/>
      <c r="Z167" s="39"/>
      <c r="AA167" s="39"/>
      <c r="AB167" s="39"/>
      <c r="AC167" s="37" t="s">
        <v>19</v>
      </c>
      <c r="AD167" s="37"/>
      <c r="AE167" s="37"/>
      <c r="AF167" s="37" t="s">
        <v>758</v>
      </c>
      <c r="AG167" s="37" t="s">
        <v>841</v>
      </c>
      <c r="AH167" s="37"/>
      <c r="AI167" s="37" t="s">
        <v>32</v>
      </c>
    </row>
    <row r="168" spans="2:35">
      <c r="B168" s="37">
        <v>162</v>
      </c>
      <c r="C168" s="38" t="s">
        <v>1064</v>
      </c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 t="s">
        <v>836</v>
      </c>
      <c r="O168" s="132">
        <v>71543911</v>
      </c>
      <c r="P168" s="37"/>
      <c r="Q168" s="37"/>
      <c r="R168" s="37"/>
      <c r="S168" s="37"/>
      <c r="T168" s="44">
        <v>9</v>
      </c>
      <c r="U168" s="37"/>
      <c r="V168" s="37" t="s">
        <v>838</v>
      </c>
      <c r="W168" s="37"/>
      <c r="X168" s="37"/>
      <c r="Y168" s="39"/>
      <c r="Z168" s="39"/>
      <c r="AA168" s="39"/>
      <c r="AB168" s="39"/>
      <c r="AC168" s="37" t="s">
        <v>40</v>
      </c>
      <c r="AD168" s="37"/>
      <c r="AE168" s="37"/>
      <c r="AF168" s="37" t="s">
        <v>679</v>
      </c>
      <c r="AG168" s="37" t="s">
        <v>841</v>
      </c>
      <c r="AH168" s="37"/>
      <c r="AI168" s="37" t="s">
        <v>25</v>
      </c>
    </row>
    <row r="169" spans="2:35">
      <c r="B169" s="37">
        <v>163</v>
      </c>
      <c r="C169" s="38" t="s">
        <v>1065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 t="s">
        <v>836</v>
      </c>
      <c r="O169" s="37">
        <v>72973076</v>
      </c>
      <c r="P169" s="37"/>
      <c r="Q169" s="37"/>
      <c r="R169" s="37"/>
      <c r="S169" s="37"/>
      <c r="T169" s="44">
        <v>39</v>
      </c>
      <c r="U169" s="37"/>
      <c r="V169" s="37" t="s">
        <v>845</v>
      </c>
      <c r="W169" s="37"/>
      <c r="X169" s="37"/>
      <c r="Y169" s="39"/>
      <c r="Z169" s="39"/>
      <c r="AA169" s="39"/>
      <c r="AB169" s="39"/>
      <c r="AC169" s="37" t="s">
        <v>19</v>
      </c>
      <c r="AD169" s="37"/>
      <c r="AE169" s="37"/>
      <c r="AF169" s="37" t="s">
        <v>758</v>
      </c>
      <c r="AG169" s="37" t="s">
        <v>841</v>
      </c>
      <c r="AH169" s="37"/>
      <c r="AI169" s="37" t="s">
        <v>32</v>
      </c>
    </row>
    <row r="170" spans="2:35">
      <c r="B170" s="37">
        <v>164</v>
      </c>
      <c r="C170" s="133" t="s">
        <v>1066</v>
      </c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 t="s">
        <v>836</v>
      </c>
      <c r="O170" s="132">
        <v>72658536</v>
      </c>
      <c r="P170" s="37"/>
      <c r="Q170" s="37"/>
      <c r="R170" s="37"/>
      <c r="S170" s="37"/>
      <c r="T170" s="44">
        <v>29</v>
      </c>
      <c r="U170" s="37"/>
      <c r="V170" s="37" t="s">
        <v>845</v>
      </c>
      <c r="W170" s="37"/>
      <c r="X170" s="37"/>
      <c r="Y170" s="39"/>
      <c r="Z170" s="39"/>
      <c r="AA170" s="39"/>
      <c r="AB170" s="39"/>
      <c r="AC170" s="37" t="s">
        <v>19</v>
      </c>
      <c r="AD170" s="37"/>
      <c r="AE170" s="37"/>
      <c r="AF170" s="37" t="s">
        <v>710</v>
      </c>
      <c r="AG170" s="37" t="s">
        <v>841</v>
      </c>
      <c r="AH170" s="37"/>
      <c r="AI170" s="37" t="s">
        <v>32</v>
      </c>
    </row>
    <row r="171" spans="2:35">
      <c r="B171" s="132">
        <v>165</v>
      </c>
      <c r="C171" s="133" t="s">
        <v>1067</v>
      </c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 t="s">
        <v>836</v>
      </c>
      <c r="O171" s="132">
        <v>43370751</v>
      </c>
      <c r="P171" s="52">
        <v>958736238</v>
      </c>
      <c r="Q171" s="37"/>
      <c r="R171" s="37"/>
      <c r="S171" s="37"/>
      <c r="T171" s="44">
        <v>19</v>
      </c>
      <c r="U171" s="37"/>
      <c r="V171" s="37" t="s">
        <v>838</v>
      </c>
      <c r="W171" s="37"/>
      <c r="X171" s="37"/>
      <c r="Y171" s="39"/>
      <c r="Z171" s="39"/>
      <c r="AA171" s="39"/>
      <c r="AB171" s="39"/>
      <c r="AC171" s="37" t="s">
        <v>19</v>
      </c>
      <c r="AD171" s="37"/>
      <c r="AE171" s="37"/>
      <c r="AF171" s="37" t="s">
        <v>702</v>
      </c>
      <c r="AG171" s="37" t="s">
        <v>841</v>
      </c>
      <c r="AH171" s="37"/>
      <c r="AI171" s="37" t="s">
        <v>41</v>
      </c>
    </row>
    <row r="172" spans="2:35">
      <c r="B172" s="132">
        <v>166</v>
      </c>
      <c r="C172" s="133" t="s">
        <v>1068</v>
      </c>
      <c r="D172" s="132"/>
      <c r="E172" s="37"/>
      <c r="F172" s="37"/>
      <c r="G172" s="37"/>
      <c r="H172" s="37"/>
      <c r="I172" s="37"/>
      <c r="J172" s="37"/>
      <c r="K172" s="37"/>
      <c r="L172" s="37"/>
      <c r="M172" s="37"/>
      <c r="N172" s="132" t="s">
        <v>836</v>
      </c>
      <c r="O172" s="132">
        <v>70477271</v>
      </c>
      <c r="P172" s="138"/>
      <c r="Q172" s="37"/>
      <c r="R172" s="37"/>
      <c r="S172" s="37"/>
      <c r="T172" s="44">
        <v>16</v>
      </c>
      <c r="U172" s="37"/>
      <c r="V172" s="37" t="s">
        <v>838</v>
      </c>
      <c r="W172" s="37"/>
      <c r="X172" s="37"/>
      <c r="Y172" s="39"/>
      <c r="Z172" s="39"/>
      <c r="AA172" s="39"/>
      <c r="AB172" s="39"/>
      <c r="AC172" s="37" t="s">
        <v>19</v>
      </c>
      <c r="AD172" s="37"/>
      <c r="AE172" s="37"/>
      <c r="AF172" s="37" t="s">
        <v>750</v>
      </c>
      <c r="AG172" s="37" t="s">
        <v>841</v>
      </c>
      <c r="AH172" s="37"/>
      <c r="AI172" s="37" t="s">
        <v>32</v>
      </c>
    </row>
    <row r="173" spans="2:35">
      <c r="B173" s="132">
        <v>168</v>
      </c>
      <c r="C173" s="133" t="s">
        <v>1069</v>
      </c>
      <c r="D173" s="132"/>
      <c r="E173" s="37"/>
      <c r="F173" s="37"/>
      <c r="G173" s="37"/>
      <c r="H173" s="37"/>
      <c r="I173" s="37"/>
      <c r="J173" s="37"/>
      <c r="K173" s="37"/>
      <c r="L173" s="37"/>
      <c r="M173" s="37"/>
      <c r="N173" s="132" t="s">
        <v>836</v>
      </c>
      <c r="O173" s="132">
        <v>43262214</v>
      </c>
      <c r="P173" s="138"/>
      <c r="Q173" s="37"/>
      <c r="R173" s="37"/>
      <c r="S173" s="37"/>
      <c r="T173" s="44">
        <v>9</v>
      </c>
      <c r="U173" s="37"/>
      <c r="V173" s="37" t="s">
        <v>838</v>
      </c>
      <c r="W173" s="37"/>
      <c r="X173" s="37"/>
      <c r="Y173" s="39"/>
      <c r="Z173" s="39"/>
      <c r="AA173" s="39"/>
      <c r="AB173" s="39"/>
      <c r="AC173" s="37" t="s">
        <v>19</v>
      </c>
      <c r="AD173" s="37"/>
      <c r="AE173" s="37"/>
      <c r="AF173" s="37" t="s">
        <v>686</v>
      </c>
      <c r="AG173" s="37" t="s">
        <v>841</v>
      </c>
      <c r="AH173" s="37"/>
      <c r="AI173" s="37" t="s">
        <v>20</v>
      </c>
    </row>
    <row r="174" spans="2:35">
      <c r="B174" s="132">
        <v>167</v>
      </c>
      <c r="C174" s="133" t="s">
        <v>1070</v>
      </c>
      <c r="D174" s="132"/>
      <c r="E174" s="37"/>
      <c r="F174" s="37"/>
      <c r="G174" s="37"/>
      <c r="H174" s="37"/>
      <c r="I174" s="37"/>
      <c r="J174" s="37"/>
      <c r="K174" s="37"/>
      <c r="L174" s="37"/>
      <c r="M174" s="37"/>
      <c r="N174" s="132" t="s">
        <v>836</v>
      </c>
      <c r="O174" s="132">
        <v>46654470</v>
      </c>
      <c r="P174" s="138"/>
      <c r="Q174" s="37"/>
      <c r="R174" s="37"/>
      <c r="S174" s="37"/>
      <c r="T174" s="44"/>
      <c r="U174" s="37"/>
      <c r="V174" s="37"/>
      <c r="W174" s="37"/>
      <c r="X174" s="37"/>
      <c r="Y174" s="39"/>
      <c r="Z174" s="39"/>
      <c r="AA174" s="39"/>
      <c r="AB174" s="39"/>
      <c r="AC174" s="37"/>
      <c r="AD174" s="37"/>
      <c r="AE174" s="37"/>
      <c r="AF174" s="37"/>
      <c r="AG174" s="37" t="s">
        <v>841</v>
      </c>
      <c r="AH174" s="37"/>
      <c r="AI174" s="37"/>
    </row>
    <row r="175" spans="2:35">
      <c r="B175" s="132">
        <v>169</v>
      </c>
      <c r="C175" s="133" t="s">
        <v>1071</v>
      </c>
      <c r="D175" s="132"/>
      <c r="E175" s="37"/>
      <c r="F175" s="37"/>
      <c r="G175" s="37"/>
      <c r="H175" s="37"/>
      <c r="I175" s="37"/>
      <c r="J175" s="37"/>
      <c r="K175" s="37"/>
      <c r="L175" s="37"/>
      <c r="M175" s="37"/>
      <c r="N175" s="132" t="s">
        <v>836</v>
      </c>
      <c r="O175" s="132">
        <v>42707186</v>
      </c>
      <c r="P175" s="52">
        <v>943114599</v>
      </c>
      <c r="Q175" s="37"/>
      <c r="R175" s="147" t="s">
        <v>1072</v>
      </c>
      <c r="S175" s="37"/>
      <c r="T175" s="44"/>
      <c r="U175" s="37"/>
      <c r="V175" s="37"/>
      <c r="W175" s="37"/>
      <c r="X175" s="37"/>
      <c r="Y175" s="39"/>
      <c r="Z175" s="39"/>
      <c r="AA175" s="39"/>
      <c r="AB175" s="39"/>
      <c r="AC175" s="37"/>
      <c r="AD175" s="37"/>
      <c r="AE175" s="37"/>
      <c r="AF175" s="37"/>
      <c r="AG175" s="37" t="s">
        <v>841</v>
      </c>
      <c r="AH175" s="37"/>
      <c r="AI175" s="37"/>
    </row>
    <row r="176" spans="2:35">
      <c r="B176" s="132">
        <v>170</v>
      </c>
      <c r="C176" s="133" t="s">
        <v>1073</v>
      </c>
      <c r="D176" s="132"/>
      <c r="E176" s="37"/>
      <c r="F176" s="37"/>
      <c r="G176" s="37"/>
      <c r="H176" s="37"/>
      <c r="I176" s="37"/>
      <c r="J176" s="37"/>
      <c r="K176" s="37"/>
      <c r="L176" s="37"/>
      <c r="M176" s="37"/>
      <c r="N176" s="132" t="s">
        <v>836</v>
      </c>
      <c r="O176" s="132">
        <v>71484441</v>
      </c>
      <c r="P176" s="52">
        <v>975581957</v>
      </c>
      <c r="Q176" s="37"/>
      <c r="R176" s="151" t="s">
        <v>1074</v>
      </c>
      <c r="S176" s="37"/>
      <c r="T176" s="44"/>
      <c r="U176" s="37"/>
      <c r="V176" s="37"/>
      <c r="W176" s="37"/>
      <c r="X176" s="37"/>
      <c r="Y176" s="39"/>
      <c r="Z176" s="39"/>
      <c r="AA176" s="39"/>
      <c r="AB176" s="39"/>
      <c r="AC176" s="37"/>
      <c r="AD176" s="37"/>
      <c r="AE176" s="37"/>
      <c r="AF176" s="37"/>
      <c r="AG176" s="37" t="s">
        <v>841</v>
      </c>
      <c r="AH176" s="37"/>
      <c r="AI176" s="37"/>
    </row>
    <row r="177" spans="2:35">
      <c r="B177" s="132">
        <v>171</v>
      </c>
      <c r="C177" s="133" t="s">
        <v>1075</v>
      </c>
      <c r="D177" s="132"/>
      <c r="E177" s="37"/>
      <c r="F177" s="37"/>
      <c r="G177" s="37"/>
      <c r="H177" s="37"/>
      <c r="I177" s="37"/>
      <c r="J177" s="37"/>
      <c r="K177" s="37"/>
      <c r="L177" s="37"/>
      <c r="M177" s="37"/>
      <c r="N177" s="132" t="s">
        <v>836</v>
      </c>
      <c r="O177" s="132">
        <v>45294530</v>
      </c>
      <c r="P177" s="52">
        <v>962604348</v>
      </c>
      <c r="Q177" s="37"/>
      <c r="R177" s="148" t="s">
        <v>1076</v>
      </c>
      <c r="S177" s="37"/>
      <c r="T177" s="44"/>
      <c r="U177" s="37"/>
      <c r="V177" s="37"/>
      <c r="W177" s="37"/>
      <c r="X177" s="37"/>
      <c r="Y177" s="39"/>
      <c r="Z177" s="39"/>
      <c r="AA177" s="39"/>
      <c r="AB177" s="39"/>
      <c r="AC177" s="37"/>
      <c r="AD177" s="37"/>
      <c r="AE177" s="37"/>
      <c r="AF177" s="37"/>
      <c r="AG177" s="37" t="s">
        <v>841</v>
      </c>
      <c r="AH177" s="37"/>
      <c r="AI177" s="37"/>
    </row>
    <row r="178" spans="2:35">
      <c r="B178" s="132">
        <v>172</v>
      </c>
      <c r="C178" s="133" t="s">
        <v>1077</v>
      </c>
      <c r="D178" s="132"/>
      <c r="E178" s="37"/>
      <c r="F178" s="37"/>
      <c r="G178" s="37"/>
      <c r="H178" s="37"/>
      <c r="I178" s="37"/>
      <c r="J178" s="37"/>
      <c r="K178" s="37"/>
      <c r="L178" s="37"/>
      <c r="M178" s="37"/>
      <c r="N178" s="132" t="s">
        <v>836</v>
      </c>
      <c r="O178" s="132">
        <v>43454918</v>
      </c>
      <c r="P178" s="138"/>
      <c r="Q178" s="37"/>
      <c r="R178" s="37"/>
      <c r="S178" s="37"/>
      <c r="T178" s="44"/>
      <c r="U178" s="37"/>
      <c r="V178" s="37"/>
      <c r="W178" s="37"/>
      <c r="X178" s="37"/>
      <c r="Y178" s="39"/>
      <c r="Z178" s="39"/>
      <c r="AA178" s="39"/>
      <c r="AB178" s="39"/>
      <c r="AC178" s="37"/>
      <c r="AD178" s="37"/>
      <c r="AE178" s="37"/>
      <c r="AF178" s="37"/>
      <c r="AG178" s="37" t="s">
        <v>841</v>
      </c>
      <c r="AH178" s="37"/>
      <c r="AI178" s="37"/>
    </row>
    <row r="179" spans="2:35">
      <c r="B179" s="132">
        <v>173</v>
      </c>
      <c r="C179" s="133" t="s">
        <v>1078</v>
      </c>
      <c r="D179" s="132"/>
      <c r="E179" s="37"/>
      <c r="F179" s="37"/>
      <c r="G179" s="37"/>
      <c r="H179" s="37"/>
      <c r="I179" s="37"/>
      <c r="J179" s="37"/>
      <c r="K179" s="37"/>
      <c r="L179" s="37"/>
      <c r="M179" s="37"/>
      <c r="N179" s="132" t="s">
        <v>836</v>
      </c>
      <c r="O179" s="132">
        <v>46144315</v>
      </c>
      <c r="P179" s="132">
        <v>951799356</v>
      </c>
      <c r="Q179" s="37" t="s">
        <v>1079</v>
      </c>
      <c r="R179" s="37" t="s">
        <v>1080</v>
      </c>
      <c r="S179" s="37"/>
      <c r="T179" s="44"/>
      <c r="U179" s="37"/>
      <c r="V179" s="37"/>
      <c r="W179" s="37"/>
      <c r="X179" s="37"/>
      <c r="Y179" s="39"/>
      <c r="Z179" s="39"/>
      <c r="AA179" s="39"/>
      <c r="AB179" s="39"/>
      <c r="AC179" s="37"/>
      <c r="AD179" s="37"/>
      <c r="AE179" s="37"/>
      <c r="AF179" s="37"/>
      <c r="AG179" s="37" t="s">
        <v>841</v>
      </c>
      <c r="AH179" s="37"/>
      <c r="AI179" s="37"/>
    </row>
    <row r="180" spans="2:35">
      <c r="B180" s="132">
        <v>174</v>
      </c>
      <c r="C180" s="133" t="s">
        <v>1081</v>
      </c>
      <c r="D180" s="132"/>
      <c r="E180" s="37"/>
      <c r="F180" s="37"/>
      <c r="G180" s="37"/>
      <c r="H180" s="37"/>
      <c r="I180" s="37"/>
      <c r="J180" s="37"/>
      <c r="K180" s="37"/>
      <c r="L180" s="37"/>
      <c r="M180" s="37"/>
      <c r="N180" s="132" t="s">
        <v>836</v>
      </c>
      <c r="O180" s="132">
        <v>46741053</v>
      </c>
      <c r="P180" s="132">
        <v>974262409</v>
      </c>
      <c r="Q180" s="37" t="s">
        <v>1082</v>
      </c>
      <c r="R180" s="37" t="s">
        <v>1083</v>
      </c>
      <c r="S180" s="37"/>
      <c r="T180" s="44"/>
      <c r="U180" s="37"/>
      <c r="V180" s="37"/>
      <c r="W180" s="37"/>
      <c r="X180" s="37"/>
      <c r="Y180" s="39"/>
      <c r="Z180" s="39"/>
      <c r="AA180" s="39"/>
      <c r="AB180" s="39"/>
      <c r="AC180" s="37"/>
      <c r="AD180" s="37"/>
      <c r="AE180" s="37"/>
      <c r="AF180" s="37"/>
      <c r="AG180" s="37" t="s">
        <v>841</v>
      </c>
      <c r="AH180" s="37"/>
      <c r="AI180" s="37"/>
    </row>
    <row r="181" spans="2:35">
      <c r="B181" s="132">
        <v>175</v>
      </c>
      <c r="C181" s="133" t="s">
        <v>1084</v>
      </c>
      <c r="D181" s="132"/>
      <c r="E181" s="37"/>
      <c r="F181" s="37"/>
      <c r="G181" s="37"/>
      <c r="H181" s="37"/>
      <c r="I181" s="37"/>
      <c r="J181" s="37"/>
      <c r="K181" s="37"/>
      <c r="L181" s="37"/>
      <c r="M181" s="37"/>
      <c r="N181" s="132" t="s">
        <v>836</v>
      </c>
      <c r="O181" s="132">
        <v>21575575</v>
      </c>
      <c r="P181" s="132">
        <v>930852064</v>
      </c>
      <c r="Q181" s="37" t="s">
        <v>1085</v>
      </c>
      <c r="R181" s="37" t="s">
        <v>1086</v>
      </c>
      <c r="S181" s="37"/>
      <c r="T181" s="44"/>
      <c r="U181" s="37"/>
      <c r="V181" s="37"/>
      <c r="W181" s="37"/>
      <c r="X181" s="37"/>
      <c r="Y181" s="39"/>
      <c r="Z181" s="39"/>
      <c r="AA181" s="39"/>
      <c r="AB181" s="39"/>
      <c r="AC181" s="37"/>
      <c r="AD181" s="37"/>
      <c r="AE181" s="37"/>
      <c r="AF181" s="37"/>
      <c r="AG181" s="37" t="s">
        <v>841</v>
      </c>
      <c r="AH181" s="37"/>
      <c r="AI181" s="37"/>
    </row>
    <row r="182" spans="2:35">
      <c r="B182" s="132">
        <v>176</v>
      </c>
      <c r="C182" s="133" t="s">
        <v>1087</v>
      </c>
      <c r="D182" s="132"/>
      <c r="E182" s="37"/>
      <c r="F182" s="37"/>
      <c r="G182" s="37"/>
      <c r="H182" s="37"/>
      <c r="I182" s="37"/>
      <c r="J182" s="37"/>
      <c r="K182" s="37"/>
      <c r="L182" s="37"/>
      <c r="M182" s="37"/>
      <c r="N182" s="132" t="s">
        <v>836</v>
      </c>
      <c r="O182" s="132">
        <v>45071469</v>
      </c>
      <c r="P182" s="138"/>
      <c r="Q182" s="37"/>
      <c r="R182" s="37"/>
      <c r="S182" s="37"/>
      <c r="T182" s="44"/>
      <c r="U182" s="37"/>
      <c r="V182" s="37"/>
      <c r="W182" s="37"/>
      <c r="X182" s="37"/>
      <c r="Y182" s="39"/>
      <c r="Z182" s="39"/>
      <c r="AA182" s="39"/>
      <c r="AB182" s="39"/>
      <c r="AC182" s="37"/>
      <c r="AD182" s="37"/>
      <c r="AE182" s="37"/>
      <c r="AF182" s="37"/>
      <c r="AG182" s="37" t="s">
        <v>841</v>
      </c>
      <c r="AH182" s="37"/>
      <c r="AI182" s="37"/>
    </row>
    <row r="183" spans="2:35">
      <c r="B183" s="132">
        <v>177</v>
      </c>
      <c r="C183" s="133" t="s">
        <v>1088</v>
      </c>
      <c r="D183" s="132"/>
      <c r="E183" s="37"/>
      <c r="F183" s="37"/>
      <c r="G183" s="37"/>
      <c r="H183" s="37"/>
      <c r="I183" s="37"/>
      <c r="J183" s="37"/>
      <c r="K183" s="37"/>
      <c r="L183" s="37"/>
      <c r="M183" s="37"/>
      <c r="N183" s="132" t="s">
        <v>836</v>
      </c>
      <c r="O183" s="132">
        <v>21546491</v>
      </c>
      <c r="P183" s="138"/>
      <c r="Q183" s="37"/>
      <c r="R183" s="37"/>
      <c r="S183" s="37"/>
      <c r="T183" s="44"/>
      <c r="U183" s="37"/>
      <c r="V183" s="37"/>
      <c r="W183" s="37"/>
      <c r="X183" s="37"/>
      <c r="Y183" s="39"/>
      <c r="Z183" s="39"/>
      <c r="AA183" s="39"/>
      <c r="AB183" s="39"/>
      <c r="AC183" s="37"/>
      <c r="AD183" s="37"/>
      <c r="AE183" s="37"/>
      <c r="AF183" s="37"/>
      <c r="AG183" s="37" t="s">
        <v>841</v>
      </c>
      <c r="AH183" s="37"/>
      <c r="AI183" s="37"/>
    </row>
    <row r="184" spans="2:35">
      <c r="B184" s="132">
        <v>178</v>
      </c>
      <c r="C184" s="133" t="s">
        <v>1089</v>
      </c>
      <c r="D184" s="132"/>
      <c r="E184" s="37"/>
      <c r="F184" s="37"/>
      <c r="G184" s="37"/>
      <c r="H184" s="37"/>
      <c r="I184" s="37"/>
      <c r="J184" s="37"/>
      <c r="K184" s="37"/>
      <c r="L184" s="37"/>
      <c r="M184" s="37"/>
      <c r="N184" s="132" t="s">
        <v>836</v>
      </c>
      <c r="O184" s="132">
        <v>40153172</v>
      </c>
      <c r="P184" s="138"/>
      <c r="Q184" s="37"/>
      <c r="R184" s="37"/>
      <c r="S184" s="37"/>
      <c r="T184" s="44"/>
      <c r="U184" s="37"/>
      <c r="V184" s="37"/>
      <c r="W184" s="37"/>
      <c r="X184" s="37"/>
      <c r="Y184" s="39"/>
      <c r="Z184" s="39"/>
      <c r="AA184" s="39"/>
      <c r="AB184" s="39"/>
      <c r="AC184" s="37"/>
      <c r="AD184" s="37"/>
      <c r="AE184" s="37"/>
      <c r="AF184" s="37"/>
      <c r="AG184" s="37" t="s">
        <v>841</v>
      </c>
      <c r="AH184" s="37"/>
      <c r="AI184" s="37"/>
    </row>
    <row r="185" spans="2:35">
      <c r="B185" s="132">
        <v>179</v>
      </c>
      <c r="C185" s="133" t="s">
        <v>1090</v>
      </c>
      <c r="D185" s="132"/>
      <c r="E185" s="37"/>
      <c r="F185" s="37"/>
      <c r="G185" s="37"/>
      <c r="H185" s="37"/>
      <c r="I185" s="37"/>
      <c r="J185" s="37"/>
      <c r="K185" s="37"/>
      <c r="L185" s="37"/>
      <c r="M185" s="37"/>
      <c r="N185" s="132" t="s">
        <v>836</v>
      </c>
      <c r="O185" s="132">
        <v>44386497</v>
      </c>
      <c r="P185" s="52">
        <v>966638185</v>
      </c>
      <c r="Q185" s="37"/>
      <c r="R185" s="151" t="s">
        <v>1091</v>
      </c>
      <c r="S185" s="37"/>
      <c r="T185" s="44"/>
      <c r="U185" s="37"/>
      <c r="V185" s="37"/>
      <c r="W185" s="37"/>
      <c r="X185" s="37"/>
      <c r="Y185" s="39"/>
      <c r="Z185" s="39"/>
      <c r="AA185" s="39"/>
      <c r="AB185" s="39"/>
      <c r="AC185" s="37"/>
      <c r="AD185" s="37"/>
      <c r="AE185" s="37"/>
      <c r="AF185" s="37"/>
      <c r="AG185" s="37" t="s">
        <v>841</v>
      </c>
      <c r="AH185" s="37"/>
      <c r="AI185" s="37"/>
    </row>
    <row r="186" spans="2:35">
      <c r="B186" s="132">
        <v>180</v>
      </c>
      <c r="C186" s="133" t="s">
        <v>1092</v>
      </c>
      <c r="D186" s="132"/>
      <c r="E186" s="37"/>
      <c r="F186" s="37"/>
      <c r="G186" s="37"/>
      <c r="H186" s="37"/>
      <c r="I186" s="37"/>
      <c r="J186" s="37"/>
      <c r="K186" s="37"/>
      <c r="L186" s="37"/>
      <c r="M186" s="37"/>
      <c r="N186" s="132" t="s">
        <v>836</v>
      </c>
      <c r="O186" s="132">
        <v>44656290</v>
      </c>
      <c r="P186" s="52">
        <v>997896719</v>
      </c>
      <c r="Q186" s="37"/>
      <c r="R186" s="147" t="s">
        <v>1093</v>
      </c>
      <c r="S186" s="37"/>
      <c r="T186" s="44"/>
      <c r="U186" s="37"/>
      <c r="V186" s="37"/>
      <c r="W186" s="37"/>
      <c r="X186" s="37"/>
      <c r="Y186" s="39"/>
      <c r="Z186" s="39"/>
      <c r="AA186" s="39"/>
      <c r="AB186" s="39"/>
      <c r="AC186" s="37"/>
      <c r="AD186" s="37"/>
      <c r="AE186" s="37"/>
      <c r="AF186" s="37"/>
      <c r="AG186" s="37" t="s">
        <v>841</v>
      </c>
      <c r="AH186" s="37"/>
      <c r="AI186" s="37"/>
    </row>
    <row r="187" spans="2:35">
      <c r="B187" s="132">
        <v>181</v>
      </c>
      <c r="C187" s="133" t="s">
        <v>1094</v>
      </c>
      <c r="D187" s="132"/>
      <c r="E187" s="37"/>
      <c r="F187" s="37"/>
      <c r="G187" s="37"/>
      <c r="H187" s="37"/>
      <c r="I187" s="37"/>
      <c r="J187" s="37"/>
      <c r="K187" s="37"/>
      <c r="L187" s="37"/>
      <c r="M187" s="37"/>
      <c r="N187" s="132" t="s">
        <v>836</v>
      </c>
      <c r="O187" s="132">
        <v>71052752</v>
      </c>
      <c r="P187" s="138"/>
      <c r="Q187" s="37"/>
      <c r="R187" s="37"/>
      <c r="S187" s="37"/>
      <c r="T187" s="44"/>
      <c r="U187" s="37"/>
      <c r="V187" s="37"/>
      <c r="W187" s="37"/>
      <c r="X187" s="37"/>
      <c r="Y187" s="39"/>
      <c r="Z187" s="39"/>
      <c r="AA187" s="39"/>
      <c r="AB187" s="39"/>
      <c r="AC187" s="37"/>
      <c r="AD187" s="37"/>
      <c r="AE187" s="37"/>
      <c r="AF187" s="37"/>
      <c r="AG187" s="37" t="s">
        <v>841</v>
      </c>
      <c r="AH187" s="37"/>
      <c r="AI187" s="37"/>
    </row>
    <row r="188" spans="2:35">
      <c r="B188" s="132">
        <v>182</v>
      </c>
      <c r="C188" s="133" t="s">
        <v>1095</v>
      </c>
      <c r="D188" s="132"/>
      <c r="E188" s="37"/>
      <c r="F188" s="37"/>
      <c r="G188" s="37"/>
      <c r="H188" s="37"/>
      <c r="I188" s="37"/>
      <c r="J188" s="37"/>
      <c r="K188" s="37"/>
      <c r="L188" s="37"/>
      <c r="M188" s="37"/>
      <c r="N188" s="132" t="s">
        <v>836</v>
      </c>
      <c r="O188" s="132">
        <v>40444414</v>
      </c>
      <c r="P188" s="138"/>
      <c r="Q188" s="37"/>
      <c r="R188" s="37"/>
      <c r="S188" s="37"/>
      <c r="T188" s="44"/>
      <c r="U188" s="37"/>
      <c r="V188" s="37"/>
      <c r="W188" s="37"/>
      <c r="X188" s="37"/>
      <c r="Y188" s="39"/>
      <c r="Z188" s="39"/>
      <c r="AA188" s="39"/>
      <c r="AB188" s="39"/>
      <c r="AC188" s="37"/>
      <c r="AD188" s="37"/>
      <c r="AE188" s="37"/>
      <c r="AF188" s="37"/>
      <c r="AG188" s="37" t="s">
        <v>841</v>
      </c>
      <c r="AH188" s="37"/>
      <c r="AI188" s="37"/>
    </row>
    <row r="189" spans="2:35">
      <c r="B189" s="132">
        <v>183</v>
      </c>
      <c r="C189" s="133" t="s">
        <v>1096</v>
      </c>
      <c r="D189" s="132"/>
      <c r="E189" s="37"/>
      <c r="F189" s="37"/>
      <c r="G189" s="37"/>
      <c r="H189" s="37"/>
      <c r="I189" s="37"/>
      <c r="J189" s="37"/>
      <c r="K189" s="37"/>
      <c r="L189" s="37"/>
      <c r="M189" s="37"/>
      <c r="N189" s="132" t="s">
        <v>836</v>
      </c>
      <c r="O189" s="132">
        <v>21885297</v>
      </c>
      <c r="P189" s="138"/>
      <c r="Q189" s="37"/>
      <c r="R189" s="37"/>
      <c r="S189" s="37"/>
      <c r="T189" s="44"/>
      <c r="U189" s="37"/>
      <c r="V189" s="37"/>
      <c r="W189" s="37"/>
      <c r="X189" s="37"/>
      <c r="Y189" s="39"/>
      <c r="Z189" s="39"/>
      <c r="AA189" s="39"/>
      <c r="AB189" s="39"/>
      <c r="AC189" s="37"/>
      <c r="AD189" s="37"/>
      <c r="AE189" s="37"/>
      <c r="AF189" s="37"/>
      <c r="AG189" s="37" t="s">
        <v>841</v>
      </c>
      <c r="AH189" s="37"/>
      <c r="AI189" s="37"/>
    </row>
    <row r="190" spans="2:35">
      <c r="B190" s="132">
        <v>184</v>
      </c>
      <c r="C190" s="133" t="s">
        <v>1097</v>
      </c>
      <c r="D190" s="132"/>
      <c r="E190" s="37"/>
      <c r="F190" s="37"/>
      <c r="G190" s="37"/>
      <c r="H190" s="37"/>
      <c r="I190" s="37"/>
      <c r="J190" s="37"/>
      <c r="K190" s="37"/>
      <c r="L190" s="37"/>
      <c r="M190" s="37"/>
      <c r="N190" s="132" t="s">
        <v>836</v>
      </c>
      <c r="O190" s="132">
        <v>40716850</v>
      </c>
      <c r="P190" s="138"/>
      <c r="Q190" s="37"/>
      <c r="R190" s="37"/>
      <c r="S190" s="37"/>
      <c r="T190" s="44"/>
      <c r="U190" s="37"/>
      <c r="V190" s="37"/>
      <c r="W190" s="37"/>
      <c r="X190" s="37"/>
      <c r="Y190" s="39"/>
      <c r="Z190" s="39"/>
      <c r="AA190" s="39"/>
      <c r="AB190" s="39"/>
      <c r="AC190" s="37"/>
      <c r="AD190" s="37"/>
      <c r="AE190" s="37"/>
      <c r="AF190" s="37"/>
      <c r="AG190" s="37" t="s">
        <v>841</v>
      </c>
      <c r="AH190" s="37"/>
      <c r="AI190" s="37"/>
    </row>
    <row r="191" spans="2:35">
      <c r="B191" s="132">
        <v>185</v>
      </c>
      <c r="C191" s="133" t="s">
        <v>1098</v>
      </c>
      <c r="D191" s="132"/>
      <c r="E191" s="37"/>
      <c r="F191" s="37"/>
      <c r="G191" s="37"/>
      <c r="H191" s="37"/>
      <c r="I191" s="37"/>
      <c r="J191" s="37"/>
      <c r="K191" s="37"/>
      <c r="L191" s="37"/>
      <c r="M191" s="37"/>
      <c r="N191" s="132" t="s">
        <v>836</v>
      </c>
      <c r="O191" s="132">
        <v>70066929</v>
      </c>
      <c r="P191" s="138"/>
      <c r="Q191" s="37"/>
      <c r="R191" s="37"/>
      <c r="S191" s="37"/>
      <c r="T191" s="44"/>
      <c r="U191" s="37"/>
      <c r="V191" s="37"/>
      <c r="W191" s="37"/>
      <c r="X191" s="37"/>
      <c r="Y191" s="39"/>
      <c r="Z191" s="39"/>
      <c r="AA191" s="39"/>
      <c r="AB191" s="39"/>
      <c r="AC191" s="37"/>
      <c r="AD191" s="37"/>
      <c r="AE191" s="37"/>
      <c r="AF191" s="37"/>
      <c r="AG191" s="37" t="s">
        <v>841</v>
      </c>
      <c r="AH191" s="37"/>
      <c r="AI191" s="37"/>
    </row>
    <row r="192" spans="2:35">
      <c r="B192" s="132">
        <v>186</v>
      </c>
      <c r="C192" s="133" t="s">
        <v>1099</v>
      </c>
      <c r="D192" s="132"/>
      <c r="E192" s="37"/>
      <c r="F192" s="37"/>
      <c r="G192" s="37"/>
      <c r="H192" s="37"/>
      <c r="I192" s="37"/>
      <c r="J192" s="37"/>
      <c r="K192" s="37"/>
      <c r="L192" s="37"/>
      <c r="M192" s="37"/>
      <c r="N192" s="132" t="s">
        <v>836</v>
      </c>
      <c r="O192" s="132">
        <v>18005964</v>
      </c>
      <c r="P192" s="52">
        <v>979591528</v>
      </c>
      <c r="Q192" s="37"/>
      <c r="R192" s="147" t="s">
        <v>1100</v>
      </c>
      <c r="S192" s="37"/>
      <c r="T192" s="44"/>
      <c r="U192" s="37"/>
      <c r="V192" s="37"/>
      <c r="W192" s="37"/>
      <c r="X192" s="37"/>
      <c r="Y192" s="39"/>
      <c r="Z192" s="39"/>
      <c r="AA192" s="39"/>
      <c r="AB192" s="39"/>
      <c r="AC192" s="37"/>
      <c r="AD192" s="37"/>
      <c r="AE192" s="37"/>
      <c r="AF192" s="37"/>
      <c r="AG192" s="37" t="s">
        <v>856</v>
      </c>
      <c r="AH192" s="37"/>
      <c r="AI192" s="37"/>
    </row>
    <row r="193" spans="2:35">
      <c r="B193" s="132">
        <v>187</v>
      </c>
      <c r="C193" s="133" t="s">
        <v>1101</v>
      </c>
      <c r="D193" s="132"/>
      <c r="E193" s="37"/>
      <c r="F193" s="37"/>
      <c r="G193" s="37"/>
      <c r="H193" s="37"/>
      <c r="I193" s="37"/>
      <c r="J193" s="37"/>
      <c r="K193" s="37"/>
      <c r="L193" s="37"/>
      <c r="M193" s="37"/>
      <c r="N193" s="132" t="s">
        <v>836</v>
      </c>
      <c r="O193" s="132">
        <v>70084444</v>
      </c>
      <c r="P193" s="138"/>
      <c r="Q193" s="37"/>
      <c r="R193" s="37"/>
      <c r="S193" s="37"/>
      <c r="T193" s="44"/>
      <c r="U193" s="37"/>
      <c r="V193" s="37"/>
      <c r="W193" s="37"/>
      <c r="X193" s="37"/>
      <c r="Y193" s="39"/>
      <c r="Z193" s="39"/>
      <c r="AA193" s="39"/>
      <c r="AB193" s="39"/>
      <c r="AC193" s="37"/>
      <c r="AD193" s="37"/>
      <c r="AE193" s="37"/>
      <c r="AF193" s="37"/>
      <c r="AG193" s="37" t="s">
        <v>841</v>
      </c>
      <c r="AH193" s="37"/>
      <c r="AI193" s="37"/>
    </row>
    <row r="194" spans="2:35">
      <c r="B194" s="132">
        <v>188</v>
      </c>
      <c r="C194" s="133" t="s">
        <v>1102</v>
      </c>
      <c r="D194" s="132"/>
      <c r="E194" s="37"/>
      <c r="F194" s="37"/>
      <c r="G194" s="37"/>
      <c r="H194" s="37"/>
      <c r="I194" s="37"/>
      <c r="J194" s="37"/>
      <c r="K194" s="37"/>
      <c r="L194" s="37"/>
      <c r="M194" s="37"/>
      <c r="N194" s="132" t="s">
        <v>836</v>
      </c>
      <c r="O194" s="132">
        <v>21857087</v>
      </c>
      <c r="P194" s="138"/>
      <c r="Q194" s="37"/>
      <c r="R194" s="37"/>
      <c r="S194" s="37"/>
      <c r="T194" s="44"/>
      <c r="U194" s="37"/>
      <c r="V194" s="37"/>
      <c r="W194" s="37"/>
      <c r="X194" s="37"/>
      <c r="Y194" s="39"/>
      <c r="Z194" s="39"/>
      <c r="AA194" s="39"/>
      <c r="AB194" s="39"/>
      <c r="AC194" s="37"/>
      <c r="AD194" s="37"/>
      <c r="AE194" s="37"/>
      <c r="AF194" s="37"/>
      <c r="AG194" s="37" t="s">
        <v>841</v>
      </c>
      <c r="AH194" s="37"/>
      <c r="AI194" s="37"/>
    </row>
    <row r="195" spans="2:35">
      <c r="B195" s="132">
        <v>189</v>
      </c>
      <c r="C195" s="133" t="s">
        <v>1103</v>
      </c>
      <c r="D195" s="132"/>
      <c r="E195" s="37"/>
      <c r="F195" s="37"/>
      <c r="G195" s="37"/>
      <c r="H195" s="37"/>
      <c r="I195" s="37"/>
      <c r="J195" s="37"/>
      <c r="K195" s="37"/>
      <c r="L195" s="37"/>
      <c r="M195" s="37"/>
      <c r="N195" s="132" t="s">
        <v>836</v>
      </c>
      <c r="O195" s="132">
        <v>40176163</v>
      </c>
      <c r="P195" s="138"/>
      <c r="Q195" s="37"/>
      <c r="R195" s="37"/>
      <c r="S195" s="37"/>
      <c r="T195" s="44"/>
      <c r="U195" s="37"/>
      <c r="V195" s="37"/>
      <c r="W195" s="37"/>
      <c r="X195" s="37"/>
      <c r="Y195" s="39"/>
      <c r="Z195" s="39"/>
      <c r="AA195" s="39"/>
      <c r="AB195" s="39"/>
      <c r="AC195" s="37"/>
      <c r="AD195" s="37"/>
      <c r="AE195" s="37"/>
      <c r="AF195" s="37"/>
      <c r="AG195" s="37" t="s">
        <v>841</v>
      </c>
      <c r="AH195" s="37"/>
      <c r="AI195" s="37"/>
    </row>
    <row r="196" spans="2:35">
      <c r="B196" s="132">
        <v>190</v>
      </c>
      <c r="C196" s="133" t="s">
        <v>1104</v>
      </c>
      <c r="D196" s="132"/>
      <c r="E196" s="37"/>
      <c r="F196" s="37"/>
      <c r="G196" s="37"/>
      <c r="H196" s="37"/>
      <c r="I196" s="37"/>
      <c r="J196" s="37"/>
      <c r="K196" s="37"/>
      <c r="L196" s="37"/>
      <c r="M196" s="37"/>
      <c r="N196" s="132" t="s">
        <v>836</v>
      </c>
      <c r="O196" s="132">
        <v>43128103</v>
      </c>
      <c r="P196" s="138"/>
      <c r="Q196" s="37"/>
      <c r="R196" s="37"/>
      <c r="S196" s="37"/>
      <c r="T196" s="44"/>
      <c r="U196" s="37"/>
      <c r="V196" s="37"/>
      <c r="W196" s="37"/>
      <c r="X196" s="37"/>
      <c r="Y196" s="39"/>
      <c r="Z196" s="39"/>
      <c r="AA196" s="39"/>
      <c r="AB196" s="39"/>
      <c r="AC196" s="37"/>
      <c r="AD196" s="37"/>
      <c r="AE196" s="37"/>
      <c r="AF196" s="37"/>
      <c r="AG196" s="37" t="s">
        <v>841</v>
      </c>
      <c r="AH196" s="37"/>
      <c r="AI196" s="37"/>
    </row>
    <row r="197" spans="2:35">
      <c r="B197" s="132">
        <v>191</v>
      </c>
      <c r="C197" s="133" t="s">
        <v>1105</v>
      </c>
      <c r="D197" s="132"/>
      <c r="E197" s="37"/>
      <c r="F197" s="37"/>
      <c r="G197" s="37"/>
      <c r="H197" s="37"/>
      <c r="I197" s="37"/>
      <c r="J197" s="37"/>
      <c r="K197" s="37"/>
      <c r="L197" s="37"/>
      <c r="M197" s="37"/>
      <c r="N197" s="132" t="s">
        <v>836</v>
      </c>
      <c r="O197" s="132">
        <v>42129291</v>
      </c>
      <c r="P197" s="138"/>
      <c r="Q197" s="37"/>
      <c r="R197" s="37"/>
      <c r="S197" s="37"/>
      <c r="T197" s="44"/>
      <c r="U197" s="37"/>
      <c r="V197" s="37"/>
      <c r="W197" s="37"/>
      <c r="X197" s="37"/>
      <c r="Y197" s="39"/>
      <c r="Z197" s="39"/>
      <c r="AA197" s="39"/>
      <c r="AB197" s="39"/>
      <c r="AC197" s="37"/>
      <c r="AD197" s="37"/>
      <c r="AE197" s="37"/>
      <c r="AF197" s="37"/>
      <c r="AG197" s="37" t="s">
        <v>856</v>
      </c>
      <c r="AH197" s="37"/>
      <c r="AI197" s="37"/>
    </row>
    <row r="198" spans="2:35">
      <c r="B198" s="132">
        <v>192</v>
      </c>
      <c r="C198" s="133" t="s">
        <v>1106</v>
      </c>
      <c r="D198" s="132"/>
      <c r="E198" s="37"/>
      <c r="F198" s="37"/>
      <c r="G198" s="37"/>
      <c r="H198" s="37"/>
      <c r="I198" s="37"/>
      <c r="J198" s="37"/>
      <c r="K198" s="37"/>
      <c r="L198" s="37"/>
      <c r="M198" s="37"/>
      <c r="N198" s="132" t="s">
        <v>836</v>
      </c>
      <c r="O198" s="132">
        <v>21507863</v>
      </c>
      <c r="P198" s="52">
        <v>917055720</v>
      </c>
      <c r="R198" s="147" t="s">
        <v>1107</v>
      </c>
      <c r="S198" s="37"/>
      <c r="T198" s="44"/>
      <c r="U198" s="37"/>
      <c r="V198" s="37"/>
      <c r="W198" s="37"/>
      <c r="X198" s="37"/>
      <c r="Y198" s="39"/>
      <c r="Z198" s="39"/>
      <c r="AA198" s="39"/>
      <c r="AB198" s="39"/>
      <c r="AC198" s="37"/>
      <c r="AD198" s="37"/>
      <c r="AE198" s="37"/>
      <c r="AF198" s="37"/>
      <c r="AG198" s="37" t="s">
        <v>856</v>
      </c>
      <c r="AH198" s="37"/>
      <c r="AI198" s="37"/>
    </row>
    <row r="199" spans="2:35">
      <c r="B199" s="132">
        <v>193</v>
      </c>
      <c r="C199" s="133" t="s">
        <v>1108</v>
      </c>
      <c r="D199" s="132"/>
      <c r="E199" s="37"/>
      <c r="F199" s="37"/>
      <c r="G199" s="37"/>
      <c r="H199" s="37"/>
      <c r="I199" s="37"/>
      <c r="J199" s="37"/>
      <c r="K199" s="37"/>
      <c r="L199" s="37"/>
      <c r="M199" s="37"/>
      <c r="N199" s="132" t="s">
        <v>836</v>
      </c>
      <c r="O199" s="132">
        <v>21422843</v>
      </c>
      <c r="P199" s="138"/>
      <c r="Q199" s="37"/>
      <c r="R199" s="37"/>
      <c r="S199" s="37"/>
      <c r="T199" s="44"/>
      <c r="U199" s="37"/>
      <c r="V199" s="37"/>
      <c r="W199" s="37"/>
      <c r="X199" s="37"/>
      <c r="Y199" s="39"/>
      <c r="Z199" s="39"/>
      <c r="AA199" s="39"/>
      <c r="AB199" s="39"/>
      <c r="AC199" s="37"/>
      <c r="AD199" s="37"/>
      <c r="AE199" s="37"/>
      <c r="AF199" s="37"/>
      <c r="AG199" s="37" t="s">
        <v>841</v>
      </c>
      <c r="AH199" s="37"/>
      <c r="AI199" s="37"/>
    </row>
    <row r="200" spans="2:35">
      <c r="B200" s="132">
        <v>194</v>
      </c>
      <c r="C200" s="133" t="s">
        <v>1109</v>
      </c>
      <c r="D200" s="132"/>
      <c r="E200" s="37"/>
      <c r="F200" s="37"/>
      <c r="G200" s="37"/>
      <c r="H200" s="37"/>
      <c r="I200" s="37"/>
      <c r="J200" s="37"/>
      <c r="K200" s="37"/>
      <c r="L200" s="37"/>
      <c r="M200" s="37"/>
      <c r="N200" s="132" t="s">
        <v>836</v>
      </c>
      <c r="O200" s="132">
        <v>21541461</v>
      </c>
      <c r="P200" s="52">
        <v>992002383</v>
      </c>
      <c r="Q200" s="37"/>
      <c r="R200" s="151" t="s">
        <v>1110</v>
      </c>
      <c r="S200" s="37"/>
      <c r="T200" s="44"/>
      <c r="U200" s="37"/>
      <c r="V200" s="37"/>
      <c r="W200" s="37"/>
      <c r="X200" s="37"/>
      <c r="Y200" s="39"/>
      <c r="Z200" s="39"/>
      <c r="AA200" s="39"/>
      <c r="AB200" s="39"/>
      <c r="AC200" s="37"/>
      <c r="AD200" s="37"/>
      <c r="AE200" s="37"/>
      <c r="AF200" s="37"/>
      <c r="AG200" s="37" t="s">
        <v>856</v>
      </c>
      <c r="AH200" s="37"/>
      <c r="AI200" s="37"/>
    </row>
    <row r="201" spans="2:35">
      <c r="B201" s="132">
        <v>195</v>
      </c>
      <c r="C201" s="133" t="s">
        <v>1111</v>
      </c>
      <c r="D201" s="132"/>
      <c r="E201" s="37"/>
      <c r="F201" s="37"/>
      <c r="G201" s="37"/>
      <c r="H201" s="37"/>
      <c r="I201" s="37"/>
      <c r="J201" s="37"/>
      <c r="K201" s="37"/>
      <c r="L201" s="37"/>
      <c r="M201" s="37"/>
      <c r="N201" s="132" t="s">
        <v>836</v>
      </c>
      <c r="O201" s="132">
        <v>15353604</v>
      </c>
      <c r="P201" s="139" t="s">
        <v>1112</v>
      </c>
      <c r="Q201" s="37"/>
      <c r="R201" s="148" t="s">
        <v>1113</v>
      </c>
      <c r="S201" s="37"/>
      <c r="T201" s="44"/>
      <c r="U201" s="37"/>
      <c r="V201" s="37"/>
      <c r="W201" s="37"/>
      <c r="X201" s="37"/>
      <c r="Y201" s="39"/>
      <c r="Z201" s="39"/>
      <c r="AA201" s="39"/>
      <c r="AB201" s="39"/>
      <c r="AC201" s="37"/>
      <c r="AD201" s="37"/>
      <c r="AE201" s="37"/>
      <c r="AF201" s="37"/>
      <c r="AG201" s="37" t="s">
        <v>841</v>
      </c>
      <c r="AH201" s="37"/>
      <c r="AI201" s="37"/>
    </row>
    <row r="202" spans="2:35">
      <c r="B202" s="132">
        <v>196</v>
      </c>
      <c r="C202" s="133" t="s">
        <v>1114</v>
      </c>
      <c r="D202" s="132"/>
      <c r="E202" s="37"/>
      <c r="F202" s="37"/>
      <c r="G202" s="37"/>
      <c r="H202" s="37"/>
      <c r="I202" s="37"/>
      <c r="J202" s="37"/>
      <c r="K202" s="37"/>
      <c r="L202" s="37"/>
      <c r="M202" s="37"/>
      <c r="N202" s="132" t="s">
        <v>836</v>
      </c>
      <c r="O202" s="132">
        <v>21850336</v>
      </c>
      <c r="P202" s="138"/>
      <c r="Q202" s="37"/>
      <c r="R202" s="37"/>
      <c r="S202" s="37"/>
      <c r="T202" s="44"/>
      <c r="U202" s="37"/>
      <c r="V202" s="37"/>
      <c r="W202" s="37"/>
      <c r="X202" s="37"/>
      <c r="Y202" s="39"/>
      <c r="Z202" s="39"/>
      <c r="AA202" s="39"/>
      <c r="AB202" s="39"/>
      <c r="AC202" s="37"/>
      <c r="AD202" s="37"/>
      <c r="AE202" s="37"/>
      <c r="AF202" s="37"/>
      <c r="AG202" s="37" t="s">
        <v>841</v>
      </c>
      <c r="AH202" s="37"/>
      <c r="AI202" s="37"/>
    </row>
    <row r="203" spans="2:35">
      <c r="B203" s="132">
        <v>197</v>
      </c>
      <c r="C203" s="133" t="s">
        <v>1115</v>
      </c>
      <c r="D203" s="132"/>
      <c r="E203" s="37"/>
      <c r="F203" s="37"/>
      <c r="G203" s="37"/>
      <c r="H203" s="37"/>
      <c r="I203" s="37"/>
      <c r="J203" s="37"/>
      <c r="K203" s="37"/>
      <c r="L203" s="37"/>
      <c r="M203" s="37"/>
      <c r="N203" s="132" t="s">
        <v>836</v>
      </c>
      <c r="O203" s="132">
        <v>21575158</v>
      </c>
      <c r="P203" s="138"/>
      <c r="Q203" s="37"/>
      <c r="R203" s="37"/>
      <c r="S203" s="37"/>
      <c r="T203" s="44"/>
      <c r="U203" s="37"/>
      <c r="V203" s="37"/>
      <c r="W203" s="37"/>
      <c r="X203" s="37"/>
      <c r="Y203" s="39"/>
      <c r="Z203" s="39"/>
      <c r="AA203" s="39"/>
      <c r="AB203" s="39"/>
      <c r="AC203" s="37"/>
      <c r="AD203" s="37"/>
      <c r="AE203" s="37"/>
      <c r="AF203" s="37"/>
      <c r="AG203" s="37" t="s">
        <v>841</v>
      </c>
      <c r="AH203" s="37"/>
      <c r="AI203" s="37"/>
    </row>
    <row r="204" spans="2:35">
      <c r="B204" s="132">
        <v>198</v>
      </c>
      <c r="C204" s="133" t="s">
        <v>1116</v>
      </c>
      <c r="D204" s="132"/>
      <c r="E204" s="37"/>
      <c r="F204" s="37"/>
      <c r="G204" s="37"/>
      <c r="H204" s="37"/>
      <c r="I204" s="37"/>
      <c r="J204" s="37"/>
      <c r="K204" s="37"/>
      <c r="L204" s="37"/>
      <c r="M204" s="37"/>
      <c r="N204" s="132" t="s">
        <v>836</v>
      </c>
      <c r="O204" s="132">
        <v>21839369</v>
      </c>
      <c r="P204" s="52">
        <v>936898726</v>
      </c>
      <c r="Q204" s="37"/>
      <c r="R204" s="149" t="s">
        <v>1117</v>
      </c>
      <c r="S204" s="37"/>
      <c r="T204" s="44"/>
      <c r="U204" s="37"/>
      <c r="V204" s="37"/>
      <c r="W204" s="37"/>
      <c r="X204" s="37"/>
      <c r="Y204" s="39"/>
      <c r="Z204" s="39"/>
      <c r="AA204" s="39"/>
      <c r="AB204" s="39"/>
      <c r="AC204" s="37"/>
      <c r="AD204" s="37"/>
      <c r="AE204" s="37"/>
      <c r="AF204" s="37"/>
      <c r="AG204" s="37" t="s">
        <v>977</v>
      </c>
      <c r="AH204" s="37"/>
      <c r="AI204" s="37"/>
    </row>
    <row r="205" spans="2:35">
      <c r="B205" s="132">
        <v>199</v>
      </c>
      <c r="C205" s="133" t="s">
        <v>1118</v>
      </c>
      <c r="D205" s="132"/>
      <c r="E205" s="37"/>
      <c r="F205" s="37"/>
      <c r="G205" s="37"/>
      <c r="H205" s="37"/>
      <c r="I205" s="37"/>
      <c r="J205" s="37"/>
      <c r="K205" s="37"/>
      <c r="L205" s="37"/>
      <c r="M205" s="37"/>
      <c r="N205" s="132" t="s">
        <v>836</v>
      </c>
      <c r="O205" s="132">
        <v>72459969</v>
      </c>
      <c r="P205" s="52">
        <v>984740638</v>
      </c>
      <c r="Q205" s="37"/>
      <c r="R205" s="151" t="s">
        <v>1119</v>
      </c>
      <c r="S205" s="37"/>
      <c r="T205" s="44"/>
      <c r="U205" s="37"/>
      <c r="V205" s="37"/>
      <c r="W205" s="37"/>
      <c r="X205" s="37"/>
      <c r="Y205" s="39"/>
      <c r="Z205" s="39"/>
      <c r="AA205" s="39"/>
      <c r="AB205" s="39"/>
      <c r="AC205" s="37"/>
      <c r="AD205" s="37"/>
      <c r="AE205" s="37"/>
      <c r="AF205" s="37"/>
      <c r="AG205" s="37" t="s">
        <v>856</v>
      </c>
      <c r="AH205" s="37"/>
      <c r="AI205" s="37"/>
    </row>
    <row r="206" spans="2:35">
      <c r="B206" s="132">
        <v>200</v>
      </c>
      <c r="C206" s="133" t="s">
        <v>1120</v>
      </c>
      <c r="D206" s="132"/>
      <c r="E206" s="37"/>
      <c r="F206" s="37"/>
      <c r="G206" s="37"/>
      <c r="H206" s="37"/>
      <c r="I206" s="37"/>
      <c r="J206" s="37"/>
      <c r="K206" s="37"/>
      <c r="L206" s="37"/>
      <c r="M206" s="37"/>
      <c r="N206" s="132" t="s">
        <v>836</v>
      </c>
      <c r="O206" s="132">
        <v>9596989</v>
      </c>
      <c r="P206" s="52">
        <v>997885283</v>
      </c>
      <c r="Q206" s="37"/>
      <c r="R206" s="151" t="s">
        <v>1121</v>
      </c>
      <c r="S206" s="37"/>
      <c r="T206" s="44"/>
      <c r="U206" s="37"/>
      <c r="V206" s="37"/>
      <c r="W206" s="37"/>
      <c r="X206" s="37"/>
      <c r="Y206" s="39"/>
      <c r="Z206" s="39"/>
      <c r="AA206" s="39"/>
      <c r="AB206" s="39"/>
      <c r="AC206" s="37"/>
      <c r="AD206" s="37"/>
      <c r="AE206" s="37"/>
      <c r="AF206" s="37"/>
      <c r="AG206" s="37" t="s">
        <v>841</v>
      </c>
      <c r="AH206" s="37"/>
      <c r="AI206" s="37"/>
    </row>
    <row r="207" spans="2:35">
      <c r="B207" s="132">
        <v>201</v>
      </c>
      <c r="C207" s="133" t="s">
        <v>1122</v>
      </c>
      <c r="D207" s="132"/>
      <c r="E207" s="37"/>
      <c r="F207" s="37"/>
      <c r="G207" s="37"/>
      <c r="H207" s="37"/>
      <c r="I207" s="37"/>
      <c r="J207" s="37"/>
      <c r="K207" s="37"/>
      <c r="L207" s="37"/>
      <c r="M207" s="37"/>
      <c r="N207" s="132" t="s">
        <v>836</v>
      </c>
      <c r="O207" s="132">
        <v>10299078</v>
      </c>
      <c r="P207" s="132">
        <v>992735465</v>
      </c>
      <c r="Q207" s="37" t="s">
        <v>1123</v>
      </c>
      <c r="R207" s="37" t="s">
        <v>1124</v>
      </c>
      <c r="S207" s="37"/>
      <c r="T207" s="44"/>
      <c r="U207" s="37"/>
      <c r="V207" s="37"/>
      <c r="W207" s="37"/>
      <c r="X207" s="37"/>
      <c r="Y207" s="39"/>
      <c r="Z207" s="39"/>
      <c r="AA207" s="39"/>
      <c r="AB207" s="39"/>
      <c r="AC207" s="37"/>
      <c r="AD207" s="37"/>
      <c r="AE207" s="37"/>
      <c r="AF207" s="37"/>
      <c r="AG207" s="37" t="s">
        <v>841</v>
      </c>
      <c r="AH207" s="37"/>
      <c r="AI207" s="37"/>
    </row>
    <row r="208" spans="2:35">
      <c r="B208" s="132">
        <v>202</v>
      </c>
      <c r="C208" s="133" t="s">
        <v>1125</v>
      </c>
      <c r="D208" s="132"/>
      <c r="E208" s="37"/>
      <c r="F208" s="37"/>
      <c r="G208" s="37"/>
      <c r="H208" s="37"/>
      <c r="I208" s="37"/>
      <c r="J208" s="37"/>
      <c r="K208" s="37"/>
      <c r="L208" s="37"/>
      <c r="M208" s="37"/>
      <c r="N208" s="132" t="s">
        <v>836</v>
      </c>
      <c r="O208" s="132">
        <v>43901199</v>
      </c>
      <c r="P208" s="138"/>
      <c r="Q208" s="37"/>
      <c r="R208" s="37"/>
      <c r="S208" s="37"/>
      <c r="T208" s="44"/>
      <c r="U208" s="37"/>
      <c r="V208" s="37"/>
      <c r="W208" s="37"/>
      <c r="X208" s="37"/>
      <c r="Y208" s="39"/>
      <c r="Z208" s="39"/>
      <c r="AA208" s="39"/>
      <c r="AB208" s="39"/>
      <c r="AC208" s="37"/>
      <c r="AD208" s="37"/>
      <c r="AE208" s="37"/>
      <c r="AF208" s="37"/>
      <c r="AG208" s="37" t="s">
        <v>856</v>
      </c>
      <c r="AH208" s="37"/>
      <c r="AI208" s="37"/>
    </row>
    <row r="209" spans="2:35">
      <c r="B209" s="132">
        <v>203</v>
      </c>
      <c r="C209" s="133" t="s">
        <v>1126</v>
      </c>
      <c r="D209" s="132"/>
      <c r="E209" s="37"/>
      <c r="F209" s="37"/>
      <c r="G209" s="37"/>
      <c r="H209" s="37"/>
      <c r="I209" s="37"/>
      <c r="J209" s="37"/>
      <c r="K209" s="37"/>
      <c r="L209" s="37"/>
      <c r="M209" s="37"/>
      <c r="N209" s="132" t="s">
        <v>836</v>
      </c>
      <c r="O209" s="132">
        <v>21838457</v>
      </c>
      <c r="P209" s="52">
        <v>956994246</v>
      </c>
      <c r="Q209" s="37"/>
      <c r="R209" s="147" t="s">
        <v>1127</v>
      </c>
      <c r="S209" s="37"/>
      <c r="T209" s="44"/>
      <c r="U209" s="37"/>
      <c r="V209" s="37"/>
      <c r="W209" s="37"/>
      <c r="X209" s="37"/>
      <c r="Y209" s="39"/>
      <c r="Z209" s="39"/>
      <c r="AA209" s="39"/>
      <c r="AB209" s="39"/>
      <c r="AC209" s="37"/>
      <c r="AD209" s="37"/>
      <c r="AE209" s="37"/>
      <c r="AF209" s="37"/>
      <c r="AG209" s="37" t="s">
        <v>841</v>
      </c>
      <c r="AH209" s="37"/>
      <c r="AI209" s="37"/>
    </row>
    <row r="210" spans="2:35">
      <c r="B210" s="132">
        <v>204</v>
      </c>
      <c r="C210" s="133" t="s">
        <v>1128</v>
      </c>
      <c r="D210" s="132"/>
      <c r="E210" s="37"/>
      <c r="F210" s="37"/>
      <c r="G210" s="37"/>
      <c r="H210" s="37"/>
      <c r="I210" s="37"/>
      <c r="J210" s="37"/>
      <c r="K210" s="37"/>
      <c r="L210" s="37"/>
      <c r="M210" s="37"/>
      <c r="N210" s="132" t="s">
        <v>836</v>
      </c>
      <c r="O210" s="132">
        <v>21881487</v>
      </c>
      <c r="P210" s="138"/>
      <c r="Q210" s="37"/>
      <c r="R210" s="37"/>
      <c r="S210" s="37"/>
      <c r="T210" s="44"/>
      <c r="U210" s="37"/>
      <c r="V210" s="37"/>
      <c r="W210" s="37"/>
      <c r="X210" s="37"/>
      <c r="Y210" s="39"/>
      <c r="Z210" s="39"/>
      <c r="AA210" s="39"/>
      <c r="AB210" s="39"/>
      <c r="AC210" s="37"/>
      <c r="AD210" s="37"/>
      <c r="AE210" s="37"/>
      <c r="AF210" s="37"/>
      <c r="AG210" s="37" t="s">
        <v>841</v>
      </c>
      <c r="AH210" s="37"/>
      <c r="AI210" s="37"/>
    </row>
    <row r="211" spans="2:35">
      <c r="B211" s="132">
        <v>205</v>
      </c>
      <c r="C211" s="133" t="s">
        <v>1129</v>
      </c>
      <c r="D211" s="132"/>
      <c r="E211" s="37"/>
      <c r="F211" s="37"/>
      <c r="G211" s="37"/>
      <c r="H211" s="37"/>
      <c r="I211" s="37"/>
      <c r="J211" s="37"/>
      <c r="K211" s="37"/>
      <c r="L211" s="37"/>
      <c r="M211" s="37"/>
      <c r="N211" s="132" t="s">
        <v>836</v>
      </c>
      <c r="O211" s="132">
        <v>43322342</v>
      </c>
      <c r="P211" s="52">
        <v>980568948</v>
      </c>
      <c r="Q211" s="37"/>
      <c r="R211" s="151" t="s">
        <v>1130</v>
      </c>
      <c r="S211" s="37"/>
      <c r="T211" s="44"/>
      <c r="U211" s="37"/>
      <c r="V211" s="37"/>
      <c r="W211" s="37"/>
      <c r="X211" s="37"/>
      <c r="Y211" s="39"/>
      <c r="Z211" s="39"/>
      <c r="AA211" s="39"/>
      <c r="AB211" s="39"/>
      <c r="AC211" s="37"/>
      <c r="AD211" s="37"/>
      <c r="AE211" s="37"/>
      <c r="AF211" s="37"/>
      <c r="AG211" s="37" t="s">
        <v>856</v>
      </c>
      <c r="AH211" s="37"/>
      <c r="AI211" s="37"/>
    </row>
    <row r="212" spans="2:35">
      <c r="B212" s="132">
        <v>206</v>
      </c>
      <c r="C212" s="133" t="s">
        <v>1131</v>
      </c>
      <c r="D212" s="132"/>
      <c r="E212" s="37"/>
      <c r="F212" s="37"/>
      <c r="G212" s="37"/>
      <c r="H212" s="37"/>
      <c r="I212" s="37"/>
      <c r="J212" s="37"/>
      <c r="K212" s="37"/>
      <c r="L212" s="37"/>
      <c r="M212" s="37"/>
      <c r="N212" s="132" t="s">
        <v>836</v>
      </c>
      <c r="O212" s="132">
        <v>21563342</v>
      </c>
      <c r="P212" s="138"/>
      <c r="Q212" s="37"/>
      <c r="R212" s="37"/>
      <c r="S212" s="37"/>
      <c r="T212" s="44"/>
      <c r="U212" s="37"/>
      <c r="V212" s="37"/>
      <c r="W212" s="37"/>
      <c r="X212" s="37"/>
      <c r="Y212" s="39"/>
      <c r="Z212" s="39"/>
      <c r="AA212" s="39"/>
      <c r="AB212" s="39"/>
      <c r="AC212" s="37"/>
      <c r="AD212" s="37"/>
      <c r="AE212" s="37"/>
      <c r="AF212" s="37"/>
      <c r="AG212" s="37" t="s">
        <v>841</v>
      </c>
      <c r="AH212" s="37"/>
      <c r="AI212" s="37"/>
    </row>
    <row r="213" spans="2:35">
      <c r="B213" s="132">
        <v>207</v>
      </c>
      <c r="C213" s="133" t="s">
        <v>1132</v>
      </c>
      <c r="D213" s="132"/>
      <c r="E213" s="37"/>
      <c r="F213" s="37"/>
      <c r="G213" s="37"/>
      <c r="H213" s="37"/>
      <c r="I213" s="37"/>
      <c r="J213" s="37"/>
      <c r="K213" s="37"/>
      <c r="L213" s="37"/>
      <c r="M213" s="37"/>
      <c r="N213" s="132" t="s">
        <v>836</v>
      </c>
      <c r="O213" s="143">
        <v>73788382</v>
      </c>
      <c r="P213" s="52">
        <v>970696459</v>
      </c>
      <c r="Q213" s="144"/>
      <c r="R213" s="151" t="s">
        <v>1133</v>
      </c>
      <c r="S213" s="144"/>
      <c r="T213" s="145"/>
      <c r="U213" s="144"/>
      <c r="V213" s="144"/>
      <c r="W213" s="144"/>
      <c r="X213" s="144"/>
      <c r="Y213" s="146"/>
      <c r="Z213" s="146"/>
      <c r="AA213" s="146"/>
      <c r="AB213" s="146"/>
      <c r="AC213" s="144"/>
      <c r="AD213" s="144"/>
      <c r="AE213" s="144"/>
      <c r="AF213" s="144"/>
      <c r="AG213" s="144" t="s">
        <v>841</v>
      </c>
      <c r="AH213" s="144"/>
      <c r="AI213" s="144"/>
    </row>
    <row r="214" spans="2:35">
      <c r="B214" s="132">
        <v>208</v>
      </c>
      <c r="C214" s="133" t="s">
        <v>1134</v>
      </c>
      <c r="D214" s="132"/>
      <c r="E214" s="37"/>
      <c r="F214" s="37"/>
      <c r="G214" s="37"/>
      <c r="H214" s="37"/>
      <c r="I214" s="37"/>
      <c r="J214" s="37"/>
      <c r="K214" s="37"/>
      <c r="L214" s="37"/>
      <c r="M214" s="136"/>
      <c r="N214" s="132" t="s">
        <v>836</v>
      </c>
      <c r="O214" s="132">
        <v>41391761</v>
      </c>
      <c r="P214" s="52">
        <v>956230817</v>
      </c>
      <c r="Q214" s="37"/>
      <c r="R214" s="132" t="s">
        <v>1135</v>
      </c>
      <c r="S214" s="37"/>
      <c r="T214" s="37"/>
      <c r="U214" s="37"/>
      <c r="V214" s="37"/>
      <c r="W214" s="37"/>
      <c r="X214" s="37"/>
      <c r="Y214" s="39"/>
      <c r="Z214" s="39"/>
      <c r="AA214" s="39"/>
      <c r="AB214" s="39"/>
      <c r="AC214" s="37"/>
      <c r="AD214" s="37"/>
      <c r="AE214" s="37"/>
      <c r="AF214" s="37"/>
      <c r="AG214" s="37" t="s">
        <v>856</v>
      </c>
      <c r="AH214" s="37"/>
      <c r="AI214" s="37"/>
    </row>
    <row r="215" spans="2:35">
      <c r="B215" s="132">
        <v>209</v>
      </c>
      <c r="C215" s="133" t="s">
        <v>1136</v>
      </c>
      <c r="D215" s="132"/>
      <c r="E215" s="37"/>
      <c r="F215" s="37"/>
      <c r="G215" s="37"/>
      <c r="H215" s="37"/>
      <c r="I215" s="37"/>
      <c r="J215" s="37"/>
      <c r="K215" s="37"/>
      <c r="L215" s="37"/>
      <c r="M215" s="136"/>
      <c r="N215" s="132" t="s">
        <v>836</v>
      </c>
      <c r="O215" s="132">
        <v>21876127</v>
      </c>
      <c r="P215" s="52">
        <v>997661300</v>
      </c>
      <c r="Q215" s="37"/>
      <c r="R215" s="148" t="s">
        <v>1137</v>
      </c>
      <c r="S215" s="37"/>
      <c r="T215" s="37"/>
      <c r="U215" s="37"/>
      <c r="V215" s="37"/>
      <c r="W215" s="37"/>
      <c r="X215" s="37"/>
      <c r="Y215" s="39"/>
      <c r="Z215" s="39"/>
      <c r="AA215" s="39"/>
      <c r="AB215" s="39"/>
      <c r="AC215" s="37"/>
      <c r="AD215" s="37"/>
      <c r="AE215" s="37"/>
      <c r="AF215" s="37"/>
      <c r="AG215" s="37" t="s">
        <v>856</v>
      </c>
      <c r="AH215" s="37"/>
      <c r="AI215" s="37"/>
    </row>
    <row r="216" spans="2:35">
      <c r="B216" s="132">
        <v>210</v>
      </c>
      <c r="C216" s="133" t="s">
        <v>1138</v>
      </c>
      <c r="D216" s="132"/>
      <c r="E216" s="37"/>
      <c r="F216" s="37"/>
      <c r="G216" s="37"/>
      <c r="H216" s="37"/>
      <c r="I216" s="37"/>
      <c r="J216" s="37"/>
      <c r="K216" s="37"/>
      <c r="L216" s="37"/>
      <c r="M216" s="136"/>
      <c r="N216" s="132" t="s">
        <v>836</v>
      </c>
      <c r="O216" s="132">
        <v>2651788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9"/>
      <c r="Z216" s="39"/>
      <c r="AA216" s="39"/>
      <c r="AB216" s="39"/>
      <c r="AC216" s="37"/>
      <c r="AD216" s="37"/>
      <c r="AE216" s="37"/>
      <c r="AF216" s="37"/>
      <c r="AG216" s="37" t="s">
        <v>841</v>
      </c>
      <c r="AH216" s="37"/>
      <c r="AI216" s="37"/>
    </row>
    <row r="217" spans="2:35">
      <c r="B217" s="132">
        <v>211</v>
      </c>
      <c r="C217" s="133" t="s">
        <v>1139</v>
      </c>
      <c r="D217" s="132"/>
      <c r="E217" s="37"/>
      <c r="F217" s="37"/>
      <c r="G217" s="37"/>
      <c r="H217" s="37"/>
      <c r="I217" s="37"/>
      <c r="J217" s="37"/>
      <c r="K217" s="37"/>
      <c r="L217" s="37"/>
      <c r="M217" s="136"/>
      <c r="N217" s="132" t="s">
        <v>836</v>
      </c>
      <c r="O217" s="132">
        <v>21871273</v>
      </c>
      <c r="P217" s="52">
        <v>956811795</v>
      </c>
      <c r="Q217" s="37"/>
      <c r="R217" s="147" t="s">
        <v>1140</v>
      </c>
      <c r="S217" s="37"/>
      <c r="T217" s="37"/>
      <c r="U217" s="37"/>
      <c r="V217" s="37"/>
      <c r="W217" s="37"/>
      <c r="X217" s="37"/>
      <c r="Y217" s="39"/>
      <c r="Z217" s="39"/>
      <c r="AA217" s="39"/>
      <c r="AB217" s="39"/>
      <c r="AC217" s="37"/>
      <c r="AD217" s="37"/>
      <c r="AE217" s="37"/>
      <c r="AF217" s="37"/>
      <c r="AG217" s="37" t="s">
        <v>841</v>
      </c>
      <c r="AH217" s="37"/>
      <c r="AI217" s="37"/>
    </row>
    <row r="218" spans="2:35">
      <c r="B218" s="132">
        <v>212</v>
      </c>
      <c r="C218" s="133" t="s">
        <v>1141</v>
      </c>
      <c r="D218" s="132"/>
      <c r="E218" s="37"/>
      <c r="F218" s="37"/>
      <c r="G218" s="37"/>
      <c r="H218" s="37"/>
      <c r="I218" s="37"/>
      <c r="J218" s="37"/>
      <c r="K218" s="37"/>
      <c r="L218" s="37"/>
      <c r="M218" s="136"/>
      <c r="N218" s="132" t="s">
        <v>836</v>
      </c>
      <c r="O218" s="132">
        <v>70466213</v>
      </c>
      <c r="P218" s="37">
        <v>966395819</v>
      </c>
      <c r="Q218" s="37" t="s">
        <v>1142</v>
      </c>
      <c r="R218" s="37" t="s">
        <v>1143</v>
      </c>
      <c r="S218" s="37"/>
      <c r="T218" s="37"/>
      <c r="U218" s="37"/>
      <c r="V218" s="37"/>
      <c r="W218" s="37"/>
      <c r="X218" s="37"/>
      <c r="Y218" s="39"/>
      <c r="Z218" s="39"/>
      <c r="AA218" s="39"/>
      <c r="AB218" s="39"/>
      <c r="AC218" s="37"/>
      <c r="AD218" s="37"/>
      <c r="AE218" s="37"/>
      <c r="AF218" s="37"/>
      <c r="AG218" s="37" t="s">
        <v>841</v>
      </c>
      <c r="AH218" s="37"/>
      <c r="AI218" s="37"/>
    </row>
    <row r="219" spans="2:35">
      <c r="B219" s="132">
        <v>213</v>
      </c>
      <c r="C219" s="133" t="s">
        <v>1144</v>
      </c>
      <c r="D219" s="132"/>
      <c r="E219" s="37"/>
      <c r="F219" s="37"/>
      <c r="G219" s="37"/>
      <c r="H219" s="37"/>
      <c r="I219" s="37"/>
      <c r="J219" s="37"/>
      <c r="K219" s="37"/>
      <c r="L219" s="37"/>
      <c r="M219" s="136"/>
      <c r="N219" s="132" t="s">
        <v>836</v>
      </c>
      <c r="O219" s="132">
        <v>21884462</v>
      </c>
      <c r="P219" s="49">
        <v>946194886</v>
      </c>
      <c r="Q219" s="37"/>
      <c r="R219" s="149" t="s">
        <v>1145</v>
      </c>
      <c r="S219" s="37"/>
      <c r="T219" s="37"/>
      <c r="U219" s="37"/>
      <c r="V219" s="37"/>
      <c r="W219" s="37"/>
      <c r="X219" s="37"/>
      <c r="Y219" s="39"/>
      <c r="Z219" s="39"/>
      <c r="AA219" s="39"/>
      <c r="AB219" s="39"/>
      <c r="AC219" s="37"/>
      <c r="AD219" s="37"/>
      <c r="AE219" s="37"/>
      <c r="AF219" s="37"/>
      <c r="AG219" s="37" t="s">
        <v>841</v>
      </c>
      <c r="AH219" s="37"/>
      <c r="AI219" s="37"/>
    </row>
    <row r="220" spans="2:35">
      <c r="B220" s="132">
        <v>214</v>
      </c>
      <c r="C220" s="133" t="s">
        <v>1146</v>
      </c>
      <c r="D220" s="132"/>
      <c r="E220" s="37"/>
      <c r="F220" s="37"/>
      <c r="G220" s="37"/>
      <c r="H220" s="37"/>
      <c r="I220" s="37"/>
      <c r="J220" s="37"/>
      <c r="K220" s="37"/>
      <c r="L220" s="37"/>
      <c r="M220" s="136"/>
      <c r="N220" s="132" t="s">
        <v>836</v>
      </c>
      <c r="O220" s="132">
        <v>10622951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9"/>
      <c r="Z220" s="39"/>
      <c r="AA220" s="39"/>
      <c r="AB220" s="39"/>
      <c r="AC220" s="37"/>
      <c r="AD220" s="37"/>
      <c r="AE220" s="37"/>
      <c r="AF220" s="37"/>
      <c r="AG220" s="37" t="s">
        <v>841</v>
      </c>
      <c r="AH220" s="37"/>
      <c r="AI220" s="37"/>
    </row>
    <row r="221" spans="2:35">
      <c r="B221" s="132">
        <v>215</v>
      </c>
      <c r="C221" s="133" t="s">
        <v>1147</v>
      </c>
      <c r="D221" s="132"/>
      <c r="E221" s="132"/>
      <c r="F221" s="132"/>
      <c r="G221" s="132"/>
      <c r="H221" s="132"/>
      <c r="I221" s="132"/>
      <c r="J221" s="132"/>
      <c r="K221" s="132"/>
      <c r="L221" s="132"/>
      <c r="M221" s="137"/>
      <c r="N221" s="132" t="s">
        <v>836</v>
      </c>
      <c r="O221" s="132">
        <v>21564811</v>
      </c>
      <c r="P221" s="132"/>
      <c r="Q221" s="132"/>
      <c r="R221" s="132"/>
      <c r="S221" s="132"/>
      <c r="T221" s="132"/>
      <c r="U221" s="132"/>
      <c r="V221" s="132"/>
      <c r="W221" s="132"/>
      <c r="X221" s="132"/>
      <c r="Y221" s="134"/>
      <c r="Z221" s="134"/>
      <c r="AA221" s="134"/>
      <c r="AB221" s="134"/>
      <c r="AC221" s="132"/>
      <c r="AD221" s="132"/>
      <c r="AE221" s="132"/>
      <c r="AF221" s="132"/>
      <c r="AG221" s="132" t="s">
        <v>856</v>
      </c>
      <c r="AH221" s="132"/>
      <c r="AI221" s="132"/>
    </row>
    <row r="222" spans="2:35">
      <c r="B222" s="132">
        <v>216</v>
      </c>
      <c r="C222" s="133" t="s">
        <v>1148</v>
      </c>
      <c r="D222" s="132"/>
      <c r="E222" s="132"/>
      <c r="F222" s="132"/>
      <c r="G222" s="132"/>
      <c r="H222" s="132"/>
      <c r="I222" s="132"/>
      <c r="J222" s="132"/>
      <c r="K222" s="132"/>
      <c r="L222" s="132"/>
      <c r="M222" s="137"/>
      <c r="N222" s="132" t="s">
        <v>836</v>
      </c>
      <c r="O222" s="132">
        <v>70688751</v>
      </c>
      <c r="P222" s="132">
        <v>994335370</v>
      </c>
      <c r="Q222" s="132" t="s">
        <v>1149</v>
      </c>
      <c r="R222" s="132" t="s">
        <v>1150</v>
      </c>
      <c r="S222" s="132"/>
      <c r="T222" s="132"/>
      <c r="U222" s="132"/>
      <c r="V222" s="132"/>
      <c r="W222" s="132"/>
      <c r="X222" s="132"/>
      <c r="Y222" s="134"/>
      <c r="Z222" s="134"/>
      <c r="AA222" s="134"/>
      <c r="AB222" s="134"/>
      <c r="AC222" s="132"/>
      <c r="AD222" s="132"/>
      <c r="AE222" s="132"/>
      <c r="AF222" s="132"/>
      <c r="AG222" s="132" t="s">
        <v>841</v>
      </c>
      <c r="AH222" s="132"/>
      <c r="AI222" s="132"/>
    </row>
    <row r="223" spans="2:35">
      <c r="B223" s="132">
        <v>217</v>
      </c>
      <c r="C223" s="133" t="s">
        <v>1151</v>
      </c>
      <c r="D223" s="132"/>
      <c r="E223" s="132"/>
      <c r="F223" s="132"/>
      <c r="G223" s="132"/>
      <c r="H223" s="132"/>
      <c r="I223" s="132"/>
      <c r="J223" s="132"/>
      <c r="K223" s="132"/>
      <c r="L223" s="132"/>
      <c r="M223" s="137"/>
      <c r="N223" s="132" t="s">
        <v>836</v>
      </c>
      <c r="O223" s="132">
        <v>21866560</v>
      </c>
      <c r="P223" s="132"/>
      <c r="Q223" s="132"/>
      <c r="R223" s="132"/>
      <c r="S223" s="132"/>
      <c r="T223" s="132"/>
      <c r="U223" s="132"/>
      <c r="V223" s="132"/>
      <c r="W223" s="132"/>
      <c r="X223" s="132"/>
      <c r="Y223" s="134"/>
      <c r="Z223" s="134"/>
      <c r="AA223" s="134"/>
      <c r="AB223" s="134"/>
      <c r="AC223" s="132"/>
      <c r="AD223" s="132"/>
      <c r="AE223" s="132"/>
      <c r="AF223" s="132"/>
      <c r="AG223" s="132" t="s">
        <v>841</v>
      </c>
      <c r="AH223" s="132"/>
      <c r="AI223" s="132"/>
    </row>
    <row r="224" spans="2:35">
      <c r="B224" s="132">
        <v>218</v>
      </c>
      <c r="C224" s="133" t="s">
        <v>1152</v>
      </c>
      <c r="D224" s="132"/>
      <c r="E224" s="132"/>
      <c r="F224" s="132"/>
      <c r="G224" s="132"/>
      <c r="H224" s="132"/>
      <c r="I224" s="132"/>
      <c r="J224" s="132"/>
      <c r="K224" s="132"/>
      <c r="L224" s="132"/>
      <c r="M224" s="137"/>
      <c r="N224" s="132" t="s">
        <v>836</v>
      </c>
      <c r="O224" s="132">
        <v>40339321</v>
      </c>
      <c r="P224" s="132"/>
      <c r="Q224" s="132"/>
      <c r="R224" s="132"/>
      <c r="S224" s="132"/>
      <c r="T224" s="132"/>
      <c r="U224" s="132"/>
      <c r="V224" s="132"/>
      <c r="W224" s="132"/>
      <c r="X224" s="132"/>
      <c r="Y224" s="134"/>
      <c r="Z224" s="134"/>
      <c r="AA224" s="134"/>
      <c r="AB224" s="134"/>
      <c r="AC224" s="132"/>
      <c r="AD224" s="132"/>
      <c r="AE224" s="132"/>
      <c r="AF224" s="132"/>
      <c r="AG224" s="132" t="s">
        <v>856</v>
      </c>
      <c r="AH224" s="132"/>
      <c r="AI224" s="132"/>
    </row>
    <row r="225" spans="2:35">
      <c r="B225" s="132">
        <v>219</v>
      </c>
      <c r="C225" s="133" t="s">
        <v>1153</v>
      </c>
      <c r="D225" s="132"/>
      <c r="E225" s="132"/>
      <c r="F225" s="132"/>
      <c r="G225" s="132"/>
      <c r="H225" s="132"/>
      <c r="I225" s="132"/>
      <c r="J225" s="132"/>
      <c r="K225" s="132"/>
      <c r="L225" s="132"/>
      <c r="M225" s="137"/>
      <c r="N225" s="132" t="s">
        <v>836</v>
      </c>
      <c r="O225" s="132">
        <v>22313729</v>
      </c>
      <c r="P225" s="132"/>
      <c r="Q225" s="132"/>
      <c r="R225" s="132"/>
      <c r="S225" s="132"/>
      <c r="T225" s="132"/>
      <c r="U225" s="132"/>
      <c r="V225" s="132"/>
      <c r="W225" s="132"/>
      <c r="X225" s="132"/>
      <c r="Y225" s="134"/>
      <c r="Z225" s="134"/>
      <c r="AA225" s="134"/>
      <c r="AB225" s="134"/>
      <c r="AC225" s="132"/>
      <c r="AD225" s="132"/>
      <c r="AE225" s="132"/>
      <c r="AF225" s="132"/>
      <c r="AG225" s="132" t="s">
        <v>841</v>
      </c>
      <c r="AH225" s="132"/>
      <c r="AI225" s="132"/>
    </row>
    <row r="226" spans="2:35">
      <c r="B226" s="132">
        <v>220</v>
      </c>
      <c r="C226" s="133" t="s">
        <v>1154</v>
      </c>
      <c r="D226" s="132"/>
      <c r="E226" s="132"/>
      <c r="F226" s="132"/>
      <c r="G226" s="132"/>
      <c r="H226" s="132"/>
      <c r="I226" s="132"/>
      <c r="J226" s="132"/>
      <c r="K226" s="132"/>
      <c r="L226" s="132"/>
      <c r="M226" s="137"/>
      <c r="N226" s="132" t="s">
        <v>836</v>
      </c>
      <c r="O226" s="132">
        <v>41902268</v>
      </c>
      <c r="P226" s="132">
        <v>937517676</v>
      </c>
      <c r="Q226" s="132" t="s">
        <v>1155</v>
      </c>
      <c r="R226" s="132" t="s">
        <v>1156</v>
      </c>
      <c r="S226" s="132"/>
      <c r="T226" s="132"/>
      <c r="U226" s="132"/>
      <c r="V226" s="132"/>
      <c r="W226" s="132"/>
      <c r="X226" s="132"/>
      <c r="Y226" s="134"/>
      <c r="Z226" s="134"/>
      <c r="AA226" s="134"/>
      <c r="AB226" s="134"/>
      <c r="AC226" s="132"/>
      <c r="AD226" s="132"/>
      <c r="AE226" s="132"/>
      <c r="AF226" s="132"/>
      <c r="AG226" s="132" t="s">
        <v>841</v>
      </c>
      <c r="AH226" s="132"/>
      <c r="AI226" s="132"/>
    </row>
    <row r="227" spans="2:35">
      <c r="B227" s="132">
        <v>221</v>
      </c>
      <c r="C227" s="133" t="s">
        <v>1157</v>
      </c>
      <c r="D227" s="132"/>
      <c r="E227" s="132"/>
      <c r="F227" s="132"/>
      <c r="G227" s="132"/>
      <c r="H227" s="132"/>
      <c r="I227" s="132"/>
      <c r="J227" s="132"/>
      <c r="K227" s="132"/>
      <c r="L227" s="132"/>
      <c r="M227" s="137"/>
      <c r="N227" s="132" t="s">
        <v>836</v>
      </c>
      <c r="O227" s="132">
        <v>72703241</v>
      </c>
      <c r="P227" s="143">
        <v>970568076</v>
      </c>
      <c r="Q227" s="143" t="s">
        <v>1158</v>
      </c>
      <c r="R227" s="143" t="s">
        <v>1159</v>
      </c>
      <c r="S227" s="132"/>
      <c r="T227" s="132"/>
      <c r="U227" s="132"/>
      <c r="V227" s="132"/>
      <c r="W227" s="132"/>
      <c r="X227" s="132"/>
      <c r="Y227" s="134"/>
      <c r="Z227" s="134"/>
      <c r="AA227" s="134"/>
      <c r="AB227" s="134"/>
      <c r="AC227" s="132"/>
      <c r="AD227" s="132"/>
      <c r="AE227" s="132"/>
      <c r="AF227" s="132"/>
      <c r="AG227" s="132" t="s">
        <v>841</v>
      </c>
      <c r="AH227" s="132"/>
      <c r="AI227" s="132"/>
    </row>
    <row r="228" spans="2:35">
      <c r="B228" s="132">
        <v>222</v>
      </c>
      <c r="C228" s="133" t="s">
        <v>1160</v>
      </c>
      <c r="D228" s="132"/>
      <c r="E228" s="132"/>
      <c r="F228" s="132"/>
      <c r="G228" s="132"/>
      <c r="H228" s="132"/>
      <c r="I228" s="132"/>
      <c r="J228" s="132"/>
      <c r="K228" s="132"/>
      <c r="L228" s="132"/>
      <c r="M228" s="137"/>
      <c r="N228" s="132" t="s">
        <v>836</v>
      </c>
      <c r="O228" s="132">
        <v>40021221</v>
      </c>
      <c r="P228" s="132"/>
      <c r="Q228" s="132"/>
      <c r="R228" s="132"/>
      <c r="S228" s="132"/>
      <c r="T228" s="132"/>
      <c r="U228" s="132"/>
      <c r="V228" s="132"/>
      <c r="W228" s="132"/>
      <c r="X228" s="132"/>
      <c r="Y228" s="134"/>
      <c r="Z228" s="134"/>
      <c r="AA228" s="134"/>
      <c r="AB228" s="134"/>
      <c r="AC228" s="132"/>
      <c r="AD228" s="132"/>
      <c r="AE228" s="132"/>
      <c r="AF228" s="132"/>
      <c r="AG228" s="132" t="s">
        <v>841</v>
      </c>
      <c r="AH228" s="132"/>
      <c r="AI228" s="132"/>
    </row>
    <row r="229" spans="2:35">
      <c r="B229" s="132">
        <v>223</v>
      </c>
      <c r="C229" s="133" t="s">
        <v>278</v>
      </c>
      <c r="D229" s="132"/>
      <c r="E229" s="132"/>
      <c r="F229" s="132"/>
      <c r="G229" s="132"/>
      <c r="H229" s="132"/>
      <c r="I229" s="132"/>
      <c r="J229" s="132"/>
      <c r="K229" s="132"/>
      <c r="L229" s="132"/>
      <c r="M229" s="137"/>
      <c r="N229" s="132" t="s">
        <v>836</v>
      </c>
      <c r="O229" s="132">
        <v>44565506</v>
      </c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 t="s">
        <v>841</v>
      </c>
      <c r="AH229" s="142"/>
      <c r="AI229" s="142"/>
    </row>
    <row r="230" spans="2:35">
      <c r="B230" s="132">
        <v>224</v>
      </c>
      <c r="C230" s="133" t="s">
        <v>1161</v>
      </c>
      <c r="D230" s="132"/>
      <c r="E230" s="132"/>
      <c r="F230" s="132"/>
      <c r="G230" s="132"/>
      <c r="H230" s="132"/>
      <c r="I230" s="132"/>
      <c r="J230" s="132"/>
      <c r="K230" s="132"/>
      <c r="L230" s="132"/>
      <c r="M230" s="137"/>
      <c r="N230" s="132" t="s">
        <v>836</v>
      </c>
      <c r="O230" s="132">
        <v>46405327</v>
      </c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 t="s">
        <v>841</v>
      </c>
      <c r="AH230" s="142"/>
      <c r="AI230" s="142"/>
    </row>
    <row r="231" spans="2:35">
      <c r="B231" s="132">
        <v>225</v>
      </c>
      <c r="C231" s="133" t="s">
        <v>1162</v>
      </c>
      <c r="D231" s="132"/>
      <c r="E231" s="132"/>
      <c r="F231" s="132"/>
      <c r="G231" s="132"/>
      <c r="H231" s="132"/>
      <c r="I231" s="132"/>
      <c r="J231" s="132"/>
      <c r="K231" s="132"/>
      <c r="L231" s="132"/>
      <c r="M231" s="137"/>
      <c r="N231" s="132" t="s">
        <v>836</v>
      </c>
      <c r="O231" s="132">
        <v>70401891</v>
      </c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 t="s">
        <v>841</v>
      </c>
      <c r="AH231" s="142"/>
      <c r="AI231" s="142"/>
    </row>
    <row r="232" spans="2:35">
      <c r="B232" s="132">
        <v>226</v>
      </c>
      <c r="C232" s="150" t="s">
        <v>1163</v>
      </c>
      <c r="D232" s="132"/>
      <c r="E232" s="132"/>
      <c r="F232" s="132"/>
      <c r="G232" s="132"/>
      <c r="H232" s="132"/>
      <c r="I232" s="132"/>
      <c r="J232" s="132"/>
      <c r="K232" s="132"/>
      <c r="L232" s="132"/>
      <c r="M232" s="137"/>
      <c r="N232" s="132" t="s">
        <v>836</v>
      </c>
      <c r="O232" s="132">
        <v>72608111</v>
      </c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 t="s">
        <v>841</v>
      </c>
      <c r="AH232" s="142"/>
      <c r="AI232" s="142"/>
    </row>
    <row r="233" spans="2:35">
      <c r="B233" s="132">
        <v>227</v>
      </c>
      <c r="C233" s="133" t="s">
        <v>1164</v>
      </c>
      <c r="D233" s="132"/>
      <c r="E233" s="132"/>
      <c r="F233" s="132"/>
      <c r="G233" s="132"/>
      <c r="H233" s="132"/>
      <c r="I233" s="132"/>
      <c r="J233" s="132"/>
      <c r="K233" s="132"/>
      <c r="L233" s="132"/>
      <c r="M233" s="137"/>
      <c r="N233" s="132" t="s">
        <v>836</v>
      </c>
      <c r="O233" s="132">
        <v>6105629</v>
      </c>
      <c r="P233" s="132">
        <v>921066137</v>
      </c>
      <c r="Q233" s="132" t="s">
        <v>1165</v>
      </c>
      <c r="R233" s="132" t="s">
        <v>1166</v>
      </c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 t="s">
        <v>856</v>
      </c>
      <c r="AH233" s="142"/>
      <c r="AI233" s="142"/>
    </row>
    <row r="234" spans="2:35">
      <c r="B234" s="132">
        <v>228</v>
      </c>
      <c r="C234" s="133" t="s">
        <v>1167</v>
      </c>
      <c r="D234" s="132"/>
      <c r="E234" s="132"/>
      <c r="F234" s="132"/>
      <c r="G234" s="132"/>
      <c r="H234" s="132"/>
      <c r="I234" s="132"/>
      <c r="J234" s="132"/>
      <c r="K234" s="132"/>
      <c r="L234" s="132"/>
      <c r="M234" s="137"/>
      <c r="N234" s="132" t="s">
        <v>836</v>
      </c>
      <c r="O234" s="132">
        <v>40814844</v>
      </c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 t="s">
        <v>841</v>
      </c>
      <c r="AH234" s="142"/>
      <c r="AI234" s="142"/>
    </row>
    <row r="235" spans="2:35">
      <c r="B235" s="132"/>
      <c r="C235" s="133" t="s">
        <v>1168</v>
      </c>
      <c r="D235" s="132"/>
      <c r="E235" s="132"/>
      <c r="F235" s="132"/>
      <c r="G235" s="132"/>
      <c r="H235" s="132"/>
      <c r="I235" s="132"/>
      <c r="J235" s="132"/>
      <c r="K235" s="132"/>
      <c r="L235" s="132"/>
      <c r="M235" s="137"/>
      <c r="N235" s="132" t="s">
        <v>836</v>
      </c>
      <c r="O235" s="132">
        <v>42862602</v>
      </c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 t="s">
        <v>841</v>
      </c>
      <c r="AH235" s="142"/>
      <c r="AI235" s="142"/>
    </row>
    <row r="236" spans="2:35">
      <c r="B236" s="132"/>
      <c r="C236" s="133" t="s">
        <v>1169</v>
      </c>
      <c r="D236" s="132"/>
      <c r="E236" s="132"/>
      <c r="F236" s="132"/>
      <c r="G236" s="132"/>
      <c r="H236" s="132"/>
      <c r="I236" s="132"/>
      <c r="J236" s="132"/>
      <c r="K236" s="132"/>
      <c r="L236" s="132"/>
      <c r="M236" s="137"/>
      <c r="N236" s="132" t="s">
        <v>836</v>
      </c>
      <c r="O236" s="132">
        <v>2183433</v>
      </c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</row>
    <row r="237" spans="2:35">
      <c r="B237" s="132">
        <v>229</v>
      </c>
      <c r="C237" s="133" t="s">
        <v>1170</v>
      </c>
      <c r="D237" s="132"/>
      <c r="E237" s="132"/>
      <c r="F237" s="132"/>
      <c r="G237" s="132"/>
      <c r="H237" s="132"/>
      <c r="I237" s="132"/>
      <c r="J237" s="132"/>
      <c r="K237" s="132"/>
      <c r="L237" s="132"/>
      <c r="M237" s="137"/>
      <c r="N237" s="132" t="s">
        <v>836</v>
      </c>
      <c r="O237" s="132">
        <v>46417761</v>
      </c>
      <c r="P237" s="132" t="s">
        <v>1171</v>
      </c>
      <c r="Q237" s="132" t="s">
        <v>1172</v>
      </c>
      <c r="R237" s="132" t="s">
        <v>1173</v>
      </c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 t="s">
        <v>841</v>
      </c>
      <c r="AH237" s="142"/>
      <c r="AI237" s="142"/>
    </row>
    <row r="238" spans="2:35">
      <c r="B238" s="132">
        <v>230</v>
      </c>
      <c r="C238" s="133" t="s">
        <v>1174</v>
      </c>
      <c r="D238" s="132"/>
      <c r="E238" s="132"/>
      <c r="F238" s="132"/>
      <c r="G238" s="132"/>
      <c r="H238" s="132"/>
      <c r="I238" s="132"/>
      <c r="J238" s="132"/>
      <c r="K238" s="132"/>
      <c r="L238" s="132"/>
      <c r="M238" s="137"/>
      <c r="N238" s="132" t="s">
        <v>836</v>
      </c>
      <c r="O238" s="132">
        <v>45954213</v>
      </c>
      <c r="P238" s="52">
        <v>979352408</v>
      </c>
      <c r="Q238" s="142"/>
      <c r="R238" s="147" t="s">
        <v>1175</v>
      </c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 t="s">
        <v>841</v>
      </c>
      <c r="AH238" s="142"/>
      <c r="AI238" s="142"/>
    </row>
    <row r="239" spans="2:35">
      <c r="B239" s="132">
        <v>232</v>
      </c>
      <c r="C239" s="133" t="s">
        <v>1176</v>
      </c>
      <c r="D239" s="132"/>
      <c r="E239" s="132"/>
      <c r="F239" s="132"/>
      <c r="G239" s="132"/>
      <c r="H239" s="132"/>
      <c r="I239" s="132"/>
      <c r="J239" s="132"/>
      <c r="K239" s="132"/>
      <c r="L239" s="132"/>
      <c r="M239" s="137"/>
      <c r="N239" s="132" t="s">
        <v>836</v>
      </c>
      <c r="O239" s="132">
        <v>21864558</v>
      </c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 t="s">
        <v>856</v>
      </c>
      <c r="AH239" s="142"/>
      <c r="AI239" s="142"/>
    </row>
    <row r="240" spans="2:35">
      <c r="B240" s="132"/>
      <c r="C240" s="133" t="s">
        <v>1177</v>
      </c>
      <c r="D240" s="132"/>
      <c r="E240" s="132"/>
      <c r="F240" s="132"/>
      <c r="G240" s="132"/>
      <c r="H240" s="132"/>
      <c r="I240" s="132"/>
      <c r="J240" s="132"/>
      <c r="K240" s="132"/>
      <c r="L240" s="132"/>
      <c r="M240" s="137"/>
      <c r="N240" s="132" t="s">
        <v>836</v>
      </c>
      <c r="O240" s="132">
        <v>41126222</v>
      </c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 t="s">
        <v>841</v>
      </c>
      <c r="AH240" s="142"/>
      <c r="AI240" s="142"/>
    </row>
    <row r="241" spans="2:35">
      <c r="B241" s="132"/>
      <c r="C241" s="133" t="s">
        <v>1178</v>
      </c>
      <c r="D241" s="132"/>
      <c r="E241" s="132"/>
      <c r="F241" s="132"/>
      <c r="G241" s="132"/>
      <c r="H241" s="132"/>
      <c r="I241" s="132"/>
      <c r="J241" s="132"/>
      <c r="K241" s="132"/>
      <c r="L241" s="132"/>
      <c r="M241" s="137"/>
      <c r="N241" s="132" t="s">
        <v>836</v>
      </c>
      <c r="O241" s="132">
        <v>44070775</v>
      </c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 t="s">
        <v>841</v>
      </c>
      <c r="AH241" s="142"/>
      <c r="AI241" s="142"/>
    </row>
    <row r="242" spans="2:35">
      <c r="B242" s="132">
        <v>233</v>
      </c>
      <c r="C242" s="133" t="s">
        <v>1179</v>
      </c>
      <c r="D242" s="132"/>
      <c r="E242" s="132"/>
      <c r="F242" s="132"/>
      <c r="G242" s="132"/>
      <c r="H242" s="132"/>
      <c r="I242" s="132"/>
      <c r="J242" s="132"/>
      <c r="K242" s="132"/>
      <c r="L242" s="132"/>
      <c r="M242" s="137"/>
      <c r="N242" s="132" t="s">
        <v>836</v>
      </c>
      <c r="O242" s="132">
        <v>21498728</v>
      </c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 t="s">
        <v>841</v>
      </c>
      <c r="AH242" s="142"/>
      <c r="AI242" s="142"/>
    </row>
    <row r="243" spans="2:35">
      <c r="B243" s="132"/>
      <c r="C243" s="133" t="s">
        <v>1180</v>
      </c>
      <c r="D243" s="132"/>
      <c r="E243" s="132"/>
      <c r="F243" s="132"/>
      <c r="G243" s="132"/>
      <c r="H243" s="132"/>
      <c r="I243" s="132"/>
      <c r="J243" s="132"/>
      <c r="K243" s="132"/>
      <c r="L243" s="132"/>
      <c r="M243" s="137"/>
      <c r="N243" s="132" t="s">
        <v>836</v>
      </c>
      <c r="O243" s="132" t="s">
        <v>1181</v>
      </c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 t="s">
        <v>856</v>
      </c>
      <c r="AH243" s="142"/>
      <c r="AI243" s="142"/>
    </row>
    <row r="244" spans="2:35">
      <c r="B244" s="132">
        <v>234</v>
      </c>
      <c r="C244" s="133" t="s">
        <v>1182</v>
      </c>
      <c r="D244" s="132"/>
      <c r="E244" s="132"/>
      <c r="F244" s="132"/>
      <c r="G244" s="132"/>
      <c r="H244" s="132"/>
      <c r="I244" s="132"/>
      <c r="J244" s="132"/>
      <c r="K244" s="132"/>
      <c r="L244" s="132"/>
      <c r="M244" s="137"/>
      <c r="N244" s="132" t="s">
        <v>836</v>
      </c>
      <c r="O244" s="132">
        <v>45770362</v>
      </c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 t="s">
        <v>841</v>
      </c>
      <c r="AH244" s="142"/>
      <c r="AI244" s="142"/>
    </row>
    <row r="245" spans="2:35">
      <c r="B245" s="132">
        <v>235</v>
      </c>
      <c r="C245" s="133" t="s">
        <v>1183</v>
      </c>
      <c r="D245" s="132"/>
      <c r="E245" s="132"/>
      <c r="F245" s="132"/>
      <c r="G245" s="132"/>
      <c r="H245" s="132"/>
      <c r="I245" s="132"/>
      <c r="J245" s="132"/>
      <c r="K245" s="132"/>
      <c r="L245" s="132"/>
      <c r="M245" s="137"/>
      <c r="N245" s="132" t="s">
        <v>836</v>
      </c>
      <c r="O245" s="132">
        <v>45207956</v>
      </c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 t="s">
        <v>841</v>
      </c>
      <c r="AH245" s="142"/>
      <c r="AI245" s="142"/>
    </row>
    <row r="246" spans="2:35">
      <c r="B246" s="132">
        <v>236</v>
      </c>
      <c r="C246" s="133" t="s">
        <v>1184</v>
      </c>
      <c r="D246" s="132"/>
      <c r="E246" s="132"/>
      <c r="F246" s="132"/>
      <c r="G246" s="132"/>
      <c r="H246" s="132"/>
      <c r="I246" s="132"/>
      <c r="J246" s="132"/>
      <c r="K246" s="132"/>
      <c r="L246" s="132"/>
      <c r="M246" s="137"/>
      <c r="N246" s="132" t="s">
        <v>836</v>
      </c>
      <c r="O246" s="132">
        <v>21566262</v>
      </c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 t="s">
        <v>841</v>
      </c>
      <c r="AH246" s="142"/>
      <c r="AI246" s="142"/>
    </row>
    <row r="247" spans="2:35">
      <c r="B247" s="132">
        <v>238</v>
      </c>
      <c r="C247" s="133" t="s">
        <v>1185</v>
      </c>
      <c r="D247" s="132"/>
      <c r="E247" s="132"/>
      <c r="F247" s="132"/>
      <c r="G247" s="132"/>
      <c r="H247" s="132"/>
      <c r="I247" s="132"/>
      <c r="J247" s="132"/>
      <c r="K247" s="132"/>
      <c r="L247" s="132"/>
      <c r="M247" s="137"/>
      <c r="N247" s="132" t="s">
        <v>836</v>
      </c>
      <c r="O247" s="132">
        <v>4743751</v>
      </c>
      <c r="P247" s="52">
        <v>948813542</v>
      </c>
      <c r="Q247" s="142"/>
      <c r="R247" s="147" t="s">
        <v>1186</v>
      </c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 t="s">
        <v>856</v>
      </c>
      <c r="AH247" s="142"/>
      <c r="AI247" s="142"/>
    </row>
    <row r="248" spans="2:35">
      <c r="B248" s="132">
        <v>239</v>
      </c>
      <c r="C248" s="133" t="s">
        <v>1187</v>
      </c>
      <c r="D248" s="132"/>
      <c r="E248" s="132"/>
      <c r="F248" s="132"/>
      <c r="G248" s="132"/>
      <c r="H248" s="132"/>
      <c r="I248" s="132"/>
      <c r="J248" s="132"/>
      <c r="K248" s="132"/>
      <c r="L248" s="132"/>
      <c r="M248" s="137"/>
      <c r="N248" s="132" t="s">
        <v>836</v>
      </c>
      <c r="O248" s="132">
        <v>43529007</v>
      </c>
      <c r="P248" s="143" t="s">
        <v>1188</v>
      </c>
      <c r="Q248" s="143" t="s">
        <v>1189</v>
      </c>
      <c r="R248" s="143" t="s">
        <v>1190</v>
      </c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 t="s">
        <v>841</v>
      </c>
      <c r="AH248" s="142"/>
      <c r="AI248" s="142"/>
    </row>
    <row r="249" spans="2:35">
      <c r="B249" s="132">
        <v>240</v>
      </c>
      <c r="C249" s="133" t="s">
        <v>1191</v>
      </c>
      <c r="D249" s="132"/>
      <c r="E249" s="132"/>
      <c r="F249" s="132"/>
      <c r="G249" s="132"/>
      <c r="H249" s="132"/>
      <c r="I249" s="132"/>
      <c r="J249" s="132"/>
      <c r="K249" s="132"/>
      <c r="L249" s="132"/>
      <c r="M249" s="137"/>
      <c r="N249" s="132" t="s">
        <v>836</v>
      </c>
      <c r="O249" s="132">
        <v>43660977</v>
      </c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 t="s">
        <v>841</v>
      </c>
      <c r="AH249" s="142"/>
      <c r="AI249" s="142"/>
    </row>
    <row r="250" spans="2:35">
      <c r="B250" s="132">
        <v>241</v>
      </c>
      <c r="C250" s="133" t="s">
        <v>1192</v>
      </c>
      <c r="D250" s="132"/>
      <c r="E250" s="132"/>
      <c r="F250" s="132"/>
      <c r="G250" s="132"/>
      <c r="H250" s="132"/>
      <c r="I250" s="132"/>
      <c r="J250" s="132"/>
      <c r="K250" s="132"/>
      <c r="L250" s="132"/>
      <c r="M250" s="137"/>
      <c r="N250" s="132" t="s">
        <v>836</v>
      </c>
      <c r="O250" s="132">
        <v>74176001</v>
      </c>
      <c r="P250" s="132">
        <v>939178126</v>
      </c>
      <c r="Q250" s="132" t="s">
        <v>1193</v>
      </c>
      <c r="R250" s="132" t="s">
        <v>1194</v>
      </c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 t="s">
        <v>841</v>
      </c>
      <c r="AH250" s="142"/>
      <c r="AI250" s="142"/>
    </row>
    <row r="251" spans="2:35">
      <c r="B251" s="132">
        <v>242</v>
      </c>
      <c r="C251" s="133" t="s">
        <v>1195</v>
      </c>
      <c r="D251" s="132"/>
      <c r="E251" s="132"/>
      <c r="F251" s="132"/>
      <c r="G251" s="132"/>
      <c r="H251" s="132"/>
      <c r="I251" s="132"/>
      <c r="J251" s="132"/>
      <c r="K251" s="132"/>
      <c r="L251" s="132"/>
      <c r="M251" s="137"/>
      <c r="N251" s="132" t="s">
        <v>836</v>
      </c>
      <c r="O251" s="132">
        <v>80063288</v>
      </c>
      <c r="P251" s="132">
        <v>997428100</v>
      </c>
      <c r="Q251" s="132" t="s">
        <v>1196</v>
      </c>
      <c r="R251" s="132" t="s">
        <v>1197</v>
      </c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 t="s">
        <v>841</v>
      </c>
      <c r="AH251" s="142"/>
      <c r="AI251" s="142"/>
    </row>
    <row r="252" spans="2:35">
      <c r="B252" s="132">
        <v>243</v>
      </c>
      <c r="C252" s="133" t="s">
        <v>1198</v>
      </c>
      <c r="D252" s="132"/>
      <c r="E252" s="132"/>
      <c r="F252" s="132"/>
      <c r="G252" s="132"/>
      <c r="H252" s="132"/>
      <c r="I252" s="132"/>
      <c r="J252" s="132"/>
      <c r="K252" s="132"/>
      <c r="L252" s="132"/>
      <c r="M252" s="137"/>
      <c r="N252" s="132" t="s">
        <v>836</v>
      </c>
      <c r="O252" s="132">
        <v>15431618</v>
      </c>
      <c r="P252" s="52">
        <v>942784270</v>
      </c>
      <c r="Q252" s="142"/>
      <c r="R252" s="147" t="s">
        <v>1199</v>
      </c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 t="s">
        <v>841</v>
      </c>
      <c r="AH252" s="142"/>
      <c r="AI252" s="142"/>
    </row>
    <row r="253" spans="2:35">
      <c r="B253" s="132">
        <v>244</v>
      </c>
      <c r="C253" s="133" t="s">
        <v>1200</v>
      </c>
      <c r="D253" s="132"/>
      <c r="E253" s="132"/>
      <c r="F253" s="132"/>
      <c r="G253" s="132"/>
      <c r="H253" s="132"/>
      <c r="I253" s="132"/>
      <c r="J253" s="132"/>
      <c r="K253" s="132"/>
      <c r="L253" s="132"/>
      <c r="M253" s="137"/>
      <c r="N253" s="132" t="s">
        <v>836</v>
      </c>
      <c r="O253" s="132">
        <v>41876321</v>
      </c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 t="s">
        <v>841</v>
      </c>
      <c r="AH253" s="142"/>
      <c r="AI253" s="142"/>
    </row>
    <row r="254" spans="2:35">
      <c r="B254" s="132"/>
      <c r="C254" s="133" t="s">
        <v>1201</v>
      </c>
      <c r="D254" s="132"/>
      <c r="E254" s="132"/>
      <c r="F254" s="132"/>
      <c r="G254" s="132"/>
      <c r="H254" s="132"/>
      <c r="I254" s="132"/>
      <c r="J254" s="132"/>
      <c r="K254" s="132"/>
      <c r="L254" s="132"/>
      <c r="M254" s="137"/>
      <c r="N254" s="132" t="s">
        <v>836</v>
      </c>
      <c r="O254" s="132">
        <v>41916771</v>
      </c>
      <c r="P254" s="152"/>
      <c r="Q254" s="142"/>
      <c r="R254" s="15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</row>
    <row r="255" spans="2:35">
      <c r="B255" s="132">
        <v>245</v>
      </c>
      <c r="C255" s="133" t="s">
        <v>1202</v>
      </c>
      <c r="D255" s="132"/>
      <c r="E255" s="132"/>
      <c r="F255" s="132"/>
      <c r="G255" s="132"/>
      <c r="H255" s="132"/>
      <c r="I255" s="132"/>
      <c r="J255" s="132"/>
      <c r="K255" s="132"/>
      <c r="L255" s="132"/>
      <c r="M255" s="137"/>
      <c r="N255" s="132" t="s">
        <v>836</v>
      </c>
      <c r="O255" s="132">
        <v>20111776</v>
      </c>
      <c r="P255" s="52">
        <v>924017590</v>
      </c>
      <c r="Q255" s="142"/>
      <c r="R255" s="147" t="s">
        <v>1203</v>
      </c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 t="s">
        <v>841</v>
      </c>
      <c r="AH255" s="142"/>
      <c r="AI255" s="142"/>
    </row>
    <row r="256" spans="2:35">
      <c r="B256" s="132">
        <v>246</v>
      </c>
      <c r="C256" s="133" t="s">
        <v>1204</v>
      </c>
      <c r="D256" s="132"/>
      <c r="E256" s="132"/>
      <c r="F256" s="132"/>
      <c r="G256" s="132"/>
      <c r="H256" s="132"/>
      <c r="I256" s="132"/>
      <c r="J256" s="132"/>
      <c r="K256" s="132"/>
      <c r="L256" s="132"/>
      <c r="M256" s="137"/>
      <c r="N256" s="132" t="s">
        <v>836</v>
      </c>
      <c r="O256" s="132">
        <v>42591559</v>
      </c>
      <c r="P256" s="52">
        <v>985848866</v>
      </c>
      <c r="Q256" s="142"/>
      <c r="R256" s="149" t="s">
        <v>1205</v>
      </c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 t="s">
        <v>841</v>
      </c>
      <c r="AH256" s="142"/>
      <c r="AI256" s="142"/>
    </row>
    <row r="257" spans="2:35">
      <c r="B257" s="132">
        <v>247</v>
      </c>
      <c r="C257" s="133" t="s">
        <v>1206</v>
      </c>
      <c r="D257" s="132"/>
      <c r="E257" s="132"/>
      <c r="F257" s="132"/>
      <c r="G257" s="132"/>
      <c r="H257" s="132"/>
      <c r="I257" s="132"/>
      <c r="J257" s="132"/>
      <c r="K257" s="132"/>
      <c r="L257" s="132"/>
      <c r="M257" s="137"/>
      <c r="N257" s="132" t="s">
        <v>836</v>
      </c>
      <c r="O257" s="132">
        <v>16621586</v>
      </c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 t="s">
        <v>856</v>
      </c>
      <c r="AH257" s="142"/>
      <c r="AI257" s="142"/>
    </row>
    <row r="258" spans="2:35">
      <c r="B258" s="132">
        <v>249</v>
      </c>
      <c r="C258" s="133" t="s">
        <v>1207</v>
      </c>
      <c r="D258" s="132"/>
      <c r="E258" s="132"/>
      <c r="F258" s="132"/>
      <c r="G258" s="132"/>
      <c r="H258" s="132"/>
      <c r="I258" s="132"/>
      <c r="J258" s="132"/>
      <c r="K258" s="132"/>
      <c r="L258" s="132"/>
      <c r="M258" s="137"/>
      <c r="N258" s="132" t="s">
        <v>836</v>
      </c>
      <c r="O258" s="132">
        <v>21878050</v>
      </c>
      <c r="P258" s="52">
        <v>950157285</v>
      </c>
      <c r="Q258" s="142"/>
      <c r="R258" s="132" t="s">
        <v>1208</v>
      </c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 t="s">
        <v>841</v>
      </c>
      <c r="AH258" s="142"/>
      <c r="AI258" s="142"/>
    </row>
    <row r="259" spans="2:35">
      <c r="B259" s="132">
        <v>250</v>
      </c>
      <c r="C259" s="133" t="s">
        <v>1209</v>
      </c>
      <c r="D259" s="132"/>
      <c r="E259" s="132"/>
      <c r="F259" s="132"/>
      <c r="G259" s="132"/>
      <c r="H259" s="132"/>
      <c r="I259" s="132"/>
      <c r="J259" s="132"/>
      <c r="K259" s="132"/>
      <c r="L259" s="132"/>
      <c r="M259" s="137"/>
      <c r="N259" s="132" t="s">
        <v>836</v>
      </c>
      <c r="O259" s="132">
        <v>21870795</v>
      </c>
      <c r="P259" s="132" t="s">
        <v>1210</v>
      </c>
      <c r="Q259" s="132" t="s">
        <v>1211</v>
      </c>
      <c r="R259" s="132" t="s">
        <v>1212</v>
      </c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 t="s">
        <v>841</v>
      </c>
      <c r="AH259" s="142"/>
      <c r="AI259" s="142"/>
    </row>
    <row r="260" spans="2:35">
      <c r="B260" s="132">
        <v>251</v>
      </c>
      <c r="C260" s="133" t="s">
        <v>1213</v>
      </c>
      <c r="D260" s="132"/>
      <c r="E260" s="132"/>
      <c r="F260" s="132"/>
      <c r="G260" s="132"/>
      <c r="H260" s="132"/>
      <c r="I260" s="132"/>
      <c r="J260" s="132"/>
      <c r="K260" s="132"/>
      <c r="L260" s="132"/>
      <c r="M260" s="137"/>
      <c r="N260" s="132" t="s">
        <v>836</v>
      </c>
      <c r="O260" s="132">
        <v>40401768</v>
      </c>
      <c r="P260" s="52">
        <v>939278494</v>
      </c>
      <c r="Q260" s="142"/>
      <c r="R260" s="132" t="s">
        <v>1214</v>
      </c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 t="s">
        <v>841</v>
      </c>
      <c r="AH260" s="142"/>
      <c r="AI260" s="142"/>
    </row>
    <row r="261" spans="2:35">
      <c r="B261" s="132">
        <v>252</v>
      </c>
      <c r="C261" s="133" t="s">
        <v>1215</v>
      </c>
      <c r="D261" s="132"/>
      <c r="E261" s="132"/>
      <c r="F261" s="132"/>
      <c r="G261" s="132"/>
      <c r="H261" s="132"/>
      <c r="I261" s="132"/>
      <c r="J261" s="132"/>
      <c r="K261" s="132"/>
      <c r="L261" s="132"/>
      <c r="M261" s="137"/>
      <c r="N261" s="132" t="s">
        <v>836</v>
      </c>
      <c r="O261" s="132">
        <v>44848536</v>
      </c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 t="s">
        <v>856</v>
      </c>
      <c r="AH261" s="142"/>
      <c r="AI261" s="142"/>
    </row>
    <row r="262" spans="2:35">
      <c r="B262" s="132">
        <v>254</v>
      </c>
      <c r="C262" s="133" t="s">
        <v>1216</v>
      </c>
      <c r="D262" s="132"/>
      <c r="E262" s="132"/>
      <c r="F262" s="132"/>
      <c r="G262" s="132"/>
      <c r="H262" s="132"/>
      <c r="I262" s="132"/>
      <c r="J262" s="132"/>
      <c r="K262" s="132"/>
      <c r="L262" s="132"/>
      <c r="M262" s="137"/>
      <c r="N262" s="132" t="s">
        <v>836</v>
      </c>
      <c r="O262" s="132">
        <v>42952070</v>
      </c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 t="s">
        <v>841</v>
      </c>
      <c r="AH262" s="142"/>
      <c r="AI262" s="142"/>
    </row>
    <row r="263" spans="2:35">
      <c r="B263" s="132">
        <v>255</v>
      </c>
      <c r="C263" s="133" t="s">
        <v>1217</v>
      </c>
      <c r="D263" s="132"/>
      <c r="E263" s="132"/>
      <c r="F263" s="132"/>
      <c r="G263" s="132"/>
      <c r="H263" s="132"/>
      <c r="I263" s="132"/>
      <c r="J263" s="132"/>
      <c r="K263" s="132"/>
      <c r="L263" s="132"/>
      <c r="M263" s="137"/>
      <c r="N263" s="132" t="s">
        <v>836</v>
      </c>
      <c r="O263" s="132">
        <v>10004675</v>
      </c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 t="s">
        <v>856</v>
      </c>
      <c r="AH263" s="142"/>
      <c r="AI263" s="142"/>
    </row>
    <row r="264" spans="2:35">
      <c r="B264" s="132">
        <v>256</v>
      </c>
      <c r="C264" s="133" t="s">
        <v>1218</v>
      </c>
      <c r="D264" s="132"/>
      <c r="E264" s="132"/>
      <c r="F264" s="132"/>
      <c r="G264" s="132"/>
      <c r="H264" s="132"/>
      <c r="I264" s="132"/>
      <c r="J264" s="132"/>
      <c r="K264" s="132"/>
      <c r="L264" s="132"/>
      <c r="M264" s="137"/>
      <c r="N264" s="132" t="s">
        <v>836</v>
      </c>
      <c r="O264" s="132">
        <v>21431497</v>
      </c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 t="s">
        <v>841</v>
      </c>
      <c r="AH264" s="142"/>
      <c r="AI264" s="142"/>
    </row>
    <row r="265" spans="2:35">
      <c r="B265" s="132">
        <v>257</v>
      </c>
      <c r="C265" s="133" t="s">
        <v>1219</v>
      </c>
      <c r="D265" s="132"/>
      <c r="E265" s="132"/>
      <c r="F265" s="132"/>
      <c r="G265" s="132"/>
      <c r="H265" s="132"/>
      <c r="I265" s="132"/>
      <c r="J265" s="132"/>
      <c r="K265" s="132"/>
      <c r="L265" s="132"/>
      <c r="M265" s="137"/>
      <c r="N265" s="132" t="s">
        <v>836</v>
      </c>
      <c r="O265" s="132">
        <v>42963458</v>
      </c>
      <c r="P265" s="132">
        <v>968473083</v>
      </c>
      <c r="Q265" s="132" t="s">
        <v>1220</v>
      </c>
      <c r="R265" s="132" t="s">
        <v>1221</v>
      </c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 t="s">
        <v>841</v>
      </c>
      <c r="AH265" s="142"/>
      <c r="AI265" s="142"/>
    </row>
    <row r="266" spans="2:35">
      <c r="B266" s="132">
        <v>259</v>
      </c>
      <c r="C266" s="133" t="s">
        <v>1222</v>
      </c>
      <c r="D266" s="132"/>
      <c r="E266" s="132"/>
      <c r="F266" s="132"/>
      <c r="G266" s="132"/>
      <c r="H266" s="132"/>
      <c r="I266" s="132"/>
      <c r="J266" s="132"/>
      <c r="K266" s="132"/>
      <c r="L266" s="132"/>
      <c r="M266" s="137"/>
      <c r="N266" s="132" t="s">
        <v>836</v>
      </c>
      <c r="O266" s="132">
        <v>42647316</v>
      </c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 t="s">
        <v>841</v>
      </c>
      <c r="AH266" s="142"/>
      <c r="AI266" s="142"/>
    </row>
    <row r="267" spans="2:35">
      <c r="B267" s="132">
        <v>260</v>
      </c>
      <c r="C267" s="133" t="s">
        <v>1223</v>
      </c>
      <c r="D267" s="132"/>
      <c r="E267" s="132"/>
      <c r="F267" s="132"/>
      <c r="G267" s="132"/>
      <c r="H267" s="132"/>
      <c r="I267" s="132"/>
      <c r="J267" s="132"/>
      <c r="K267" s="132"/>
      <c r="L267" s="132"/>
      <c r="M267" s="137"/>
      <c r="N267" s="132" t="s">
        <v>836</v>
      </c>
      <c r="O267" s="132">
        <v>40793210</v>
      </c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 t="s">
        <v>841</v>
      </c>
      <c r="AH267" s="142"/>
      <c r="AI267" s="142"/>
    </row>
    <row r="268" spans="2:35">
      <c r="B268" s="132">
        <v>261</v>
      </c>
      <c r="C268" s="133" t="s">
        <v>1224</v>
      </c>
      <c r="D268" s="132"/>
      <c r="E268" s="132"/>
      <c r="F268" s="132"/>
      <c r="G268" s="132"/>
      <c r="H268" s="132"/>
      <c r="I268" s="132"/>
      <c r="J268" s="132"/>
      <c r="K268" s="132"/>
      <c r="L268" s="132"/>
      <c r="M268" s="137"/>
      <c r="N268" s="132" t="s">
        <v>836</v>
      </c>
      <c r="O268" s="132">
        <v>6767672</v>
      </c>
      <c r="P268" s="52">
        <v>960732455</v>
      </c>
      <c r="Q268" s="142"/>
      <c r="R268" s="149" t="s">
        <v>1225</v>
      </c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 t="s">
        <v>841</v>
      </c>
      <c r="AH268" s="142"/>
      <c r="AI268" s="142"/>
    </row>
    <row r="269" spans="2:35">
      <c r="B269" s="132">
        <v>262</v>
      </c>
      <c r="C269" s="133" t="s">
        <v>1226</v>
      </c>
      <c r="D269" s="132"/>
      <c r="E269" s="132"/>
      <c r="F269" s="132"/>
      <c r="G269" s="132"/>
      <c r="H269" s="132"/>
      <c r="I269" s="132"/>
      <c r="J269" s="132"/>
      <c r="K269" s="132"/>
      <c r="L269" s="132"/>
      <c r="M269" s="137"/>
      <c r="N269" s="132" t="s">
        <v>836</v>
      </c>
      <c r="O269" s="132">
        <v>21864691</v>
      </c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 t="s">
        <v>856</v>
      </c>
      <c r="AH269" s="142"/>
      <c r="AI269" s="142"/>
    </row>
  </sheetData>
  <autoFilter ref="B6:AI154" xr:uid="{AF7EF841-2B04-48F8-BBC9-B8D4551E961E}"/>
  <mergeCells count="1">
    <mergeCell ref="B4:R4"/>
  </mergeCells>
  <conditionalFormatting sqref="H1:H1048576">
    <cfRule type="cellIs" dxfId="16" priority="3" operator="equal">
      <formula>"PENDIENTE"</formula>
    </cfRule>
  </conditionalFormatting>
  <conditionalFormatting sqref="O1:O37 O40:O1048576">
    <cfRule type="duplicateValues" dxfId="15" priority="7"/>
  </conditionalFormatting>
  <conditionalFormatting sqref="AD7:AD43 AD79:AD228 AF7:AF228">
    <cfRule type="expression" dxfId="14" priority="5">
      <formula>#REF!&lt;&gt;$AC7</formula>
    </cfRule>
  </conditionalFormatting>
  <conditionalFormatting sqref="AD7:AD43 AF7:AF228 AD79:AD228">
    <cfRule type="expression" dxfId="13" priority="4">
      <formula>#REF!="-"</formula>
    </cfRule>
  </conditionalFormatting>
  <conditionalFormatting sqref="O270:O1048576">
    <cfRule type="duplicateValues" dxfId="12" priority="64"/>
  </conditionalFormatting>
  <conditionalFormatting sqref="C7:C269">
    <cfRule type="duplicateValues" dxfId="11" priority="660"/>
  </conditionalFormatting>
  <conditionalFormatting sqref="O1:O37 O40:O269">
    <cfRule type="duplicateValues" dxfId="10" priority="661"/>
  </conditionalFormatting>
  <hyperlinks>
    <hyperlink ref="Q8" r:id="rId1" xr:uid="{551CB28A-667C-4870-8422-B3803EB4A0DE}"/>
    <hyperlink ref="R10" r:id="rId2" xr:uid="{71245E43-F799-4565-9FE8-2953792AB16C}"/>
    <hyperlink ref="Q10" r:id="rId3" xr:uid="{C7D15641-7A4E-4F40-BD1E-283D0CD3A223}"/>
    <hyperlink ref="Q11" r:id="rId4" xr:uid="{3180D0F7-50EB-46B4-8CDD-78D6157742BF}"/>
    <hyperlink ref="Q12" r:id="rId5" xr:uid="{86A33582-B7E4-43E7-AC54-03A0895DE1A2}"/>
    <hyperlink ref="Q13" r:id="rId6" xr:uid="{0E8A08CC-BCE8-44FA-A8C3-BBB9CD85F1F3}"/>
    <hyperlink ref="Q14" r:id="rId7" xr:uid="{224FA49A-8BB3-460D-AE1E-CE09896A719A}"/>
    <hyperlink ref="Q16" r:id="rId8" xr:uid="{B8607493-F0F1-4C15-9AA5-303175F421CB}"/>
    <hyperlink ref="R17" r:id="rId9" xr:uid="{A38C9249-EBF5-46C2-AFF5-F874809D8384}"/>
    <hyperlink ref="Q18" r:id="rId10" xr:uid="{6AE841D8-4596-4941-9C62-3A8546A933F9}"/>
    <hyperlink ref="R20" r:id="rId11" xr:uid="{E5251982-D363-47E9-B295-FAFEBC30F1A7}"/>
    <hyperlink ref="R21" r:id="rId12" xr:uid="{7F1C4908-0204-4157-9266-7BED2ECBC8FB}"/>
    <hyperlink ref="R22" r:id="rId13" xr:uid="{041AEA01-090B-473E-A514-C99A935D862F}"/>
    <hyperlink ref="R23" r:id="rId14" xr:uid="{E15493D4-6BB9-4A4C-9FF9-AFDBE2936F2C}"/>
    <hyperlink ref="Q24" r:id="rId15" xr:uid="{C15CE774-4B79-4D9F-B9B9-684CAD7AA79A}"/>
    <hyperlink ref="R26" r:id="rId16" xr:uid="{25B4F06C-647B-43C0-8131-7188BB3D61A5}"/>
    <hyperlink ref="R27" r:id="rId17" xr:uid="{C138E548-6AB7-4D3E-A12E-BDD6D1B9E1B5}"/>
    <hyperlink ref="R28" r:id="rId18" xr:uid="{98AC8564-07B3-4228-8C40-611EE7BDA772}"/>
    <hyperlink ref="Q29" r:id="rId19" xr:uid="{30D8B3B0-D750-4640-9598-C9A14A6D4BB2}"/>
    <hyperlink ref="Q30" r:id="rId20" xr:uid="{E334C1E6-A98A-411E-955F-B22C4AC7519F}"/>
    <hyperlink ref="Q7" r:id="rId21" xr:uid="{9159F8FD-77B3-4A69-AD3C-B3AC06AE7075}"/>
    <hyperlink ref="Q9" r:id="rId22" xr:uid="{A4BCC0CB-BE7C-4A07-B195-E0C722B88E7E}"/>
    <hyperlink ref="Q31" r:id="rId23" xr:uid="{1CDAE626-881B-4707-8C92-8077F3EFD3D7}"/>
    <hyperlink ref="Q32" r:id="rId24" xr:uid="{9B327A60-B143-4957-9631-387133A40C16}"/>
    <hyperlink ref="Q15" r:id="rId25" xr:uid="{D2D8FD77-D35E-4374-A363-C1C76F868255}"/>
    <hyperlink ref="Q19" r:id="rId26" xr:uid="{106A3ABD-E330-42CF-B3F9-5E9E25257B19}"/>
    <hyperlink ref="Q20" r:id="rId27" xr:uid="{9A9AE1A9-1F13-49BD-ACE6-6C67028DA356}"/>
    <hyperlink ref="Q21" r:id="rId28" xr:uid="{7DFBC631-C598-4324-90AF-EC8380CF873F}"/>
    <hyperlink ref="Q17" r:id="rId29" xr:uid="{4A4E8A6A-7318-4317-9D1F-CBD73206CF46}"/>
    <hyperlink ref="Q22" r:id="rId30" xr:uid="{F740E539-00CE-4D43-9E70-CD083940BE1C}"/>
    <hyperlink ref="Q23" r:id="rId31" xr:uid="{61F8F6B0-9D21-40C4-A4EF-E2A90796B040}"/>
    <hyperlink ref="Q26" r:id="rId32" xr:uid="{FCE704A1-1D2B-4E5D-A68A-CD17A53849F8}"/>
    <hyperlink ref="Q27" r:id="rId33" xr:uid="{9AD2633C-5383-460B-AB54-DBCADAFADA98}"/>
    <hyperlink ref="Q28" r:id="rId34" xr:uid="{13B39E93-A54A-4228-9251-6931EB58A1DC}"/>
    <hyperlink ref="Q33" r:id="rId35" xr:uid="{CF400260-78CF-4AA9-BC3D-ED1BBA3FAC3F}"/>
    <hyperlink ref="R33" r:id="rId36" xr:uid="{F89162E4-42EC-4DCA-84DF-596863C2CFCD}"/>
    <hyperlink ref="Q34" r:id="rId37" xr:uid="{AD11BEE0-0E2D-4CB5-9DDC-2372B2AB520D}"/>
    <hyperlink ref="Q35" r:id="rId38" xr:uid="{BD1C2883-4ED4-4F90-9B24-F1A325C277D0}"/>
    <hyperlink ref="Q25" r:id="rId39" xr:uid="{F9AF876F-52CB-48D6-827C-4C6A521EB0DA}"/>
    <hyperlink ref="Q36" r:id="rId40" xr:uid="{F3D96051-50B8-48D0-AE85-CB2C13FFE587}"/>
    <hyperlink ref="Q37" r:id="rId41" xr:uid="{44169118-82F9-4E19-84A8-B1B735C58F10}"/>
    <hyperlink ref="R38" r:id="rId42" display="mailto:raul.aguado@autonomadeica.edu.pe" xr:uid="{F4885FDC-A7AE-409F-969D-E914068B7DB8}"/>
    <hyperlink ref="R39" r:id="rId43" xr:uid="{98F8AA03-B9CD-4221-B023-5CCCCDF7DFEC}"/>
    <hyperlink ref="R40" r:id="rId44" xr:uid="{BB76D185-1624-4D90-9EEE-279D6CB35A54}"/>
    <hyperlink ref="Q41" r:id="rId45" xr:uid="{8000C808-D372-4B4A-A01A-C91CFF6558E7}"/>
    <hyperlink ref="Q42" r:id="rId46" xr:uid="{094BDD28-9B96-404C-8326-E875224FFAD5}"/>
    <hyperlink ref="Q43" r:id="rId47" xr:uid="{1C1630DA-AD38-4904-9D08-6DF4A1161939}"/>
    <hyperlink ref="Q44" r:id="rId48" xr:uid="{660778A4-9703-443C-B475-D1A21EB742C9}"/>
    <hyperlink ref="Q45" r:id="rId49" xr:uid="{6C9CE310-1585-418E-AEB8-1B6D1479D3A3}"/>
    <hyperlink ref="Q46" r:id="rId50" xr:uid="{5814C9A2-D5CB-4510-A45B-8371B004785A}"/>
    <hyperlink ref="Q47" r:id="rId51" xr:uid="{34DDDFE3-327B-47EB-98AA-FF0037AD46CF}"/>
    <hyperlink ref="Q48" r:id="rId52" xr:uid="{B7E161AB-AA28-4111-9454-6C9D4A3E1759}"/>
    <hyperlink ref="Q49" r:id="rId53" xr:uid="{60566CBE-5E3B-4C96-9387-F72C9F933136}"/>
    <hyperlink ref="Q50" r:id="rId54" xr:uid="{C8FAF883-9BE4-4E34-BC25-680F2804087D}"/>
    <hyperlink ref="Q51" r:id="rId55" xr:uid="{392DCC7C-371D-4734-A7C4-77F64AE07009}"/>
    <hyperlink ref="Q52" r:id="rId56" xr:uid="{367FC089-61B9-45B6-9C43-976EC97B4433}"/>
    <hyperlink ref="Q53" r:id="rId57" xr:uid="{BA734F0D-C937-4815-8C47-1D6DF62A420E}"/>
    <hyperlink ref="Q54" r:id="rId58" xr:uid="{58E6D50C-2B2B-45E5-B7DA-06BC0DBB2B0B}"/>
    <hyperlink ref="Q55" r:id="rId59" xr:uid="{D17E84B1-0720-4A0B-A505-74B89E0FCE57}"/>
    <hyperlink ref="Q56" r:id="rId60" xr:uid="{B4F57EE0-7AC5-4CE5-994B-F767D6D08C0B}"/>
    <hyperlink ref="Q57" r:id="rId61" xr:uid="{350FD9C9-A057-4970-B35A-BC44AF5BF385}"/>
    <hyperlink ref="Q58" r:id="rId62" xr:uid="{B6396BD4-9BBF-4683-9AFB-771D37D3E123}"/>
    <hyperlink ref="Q59" r:id="rId63" xr:uid="{8F597160-E4D4-4418-9CC5-4675C6392C03}"/>
    <hyperlink ref="Q60" r:id="rId64" xr:uid="{3EAF619A-0418-4389-8ABD-EBF271947EB4}"/>
    <hyperlink ref="Q61" r:id="rId65" xr:uid="{477C4CA1-1B97-4D74-B2DF-CAEEEF600D75}"/>
    <hyperlink ref="Q62" r:id="rId66" xr:uid="{1CFA1E1E-7786-4A97-92BA-835559C80D80}"/>
    <hyperlink ref="Q63" r:id="rId67" xr:uid="{ADE3CBEE-0397-484A-BD21-501EF9D6D9F1}"/>
    <hyperlink ref="Q64" r:id="rId68" xr:uid="{AA9FFF21-A074-4671-9A99-7CE3EC7CCCE1}"/>
    <hyperlink ref="Q65" r:id="rId69" xr:uid="{9B48771B-E166-4AF7-B3CA-021BBA836684}"/>
    <hyperlink ref="Q66" r:id="rId70" xr:uid="{A24B8319-0750-4457-ADF4-AC188A1BA200}"/>
    <hyperlink ref="Q67" r:id="rId71" xr:uid="{BE4D9BD7-87F7-4111-BE23-40295E1B853F}"/>
    <hyperlink ref="Q68" r:id="rId72" xr:uid="{27A2B9F6-F136-4815-A613-1DEEAA551CCF}"/>
    <hyperlink ref="Q69" r:id="rId73" xr:uid="{7E4A741C-0D1A-4A48-9FA1-034DA7BC885E}"/>
    <hyperlink ref="Q70" r:id="rId74" xr:uid="{9FE7C9D1-C88B-45F4-A81C-207CFF784D45}"/>
    <hyperlink ref="Q71" r:id="rId75" xr:uid="{ABBF60B7-4EA5-481C-B0AD-DC780B1FCCEE}"/>
    <hyperlink ref="Q72" r:id="rId76" xr:uid="{A2C0294D-4C55-4999-9047-398ABD84CDE7}"/>
    <hyperlink ref="Q73" r:id="rId77" xr:uid="{7F125919-2C2B-4A57-8842-36CE36DBF12F}"/>
    <hyperlink ref="Q74" r:id="rId78" xr:uid="{208D8C88-13E3-46DA-BE7A-7424A8A4A22E}"/>
    <hyperlink ref="Q75" r:id="rId79" xr:uid="{B72A0858-A022-4F2E-A065-A3AAF28F25A6}"/>
    <hyperlink ref="Q76" r:id="rId80" xr:uid="{094902F0-8215-4648-AE91-828DE6A88B2F}"/>
    <hyperlink ref="Q77" r:id="rId81" xr:uid="{3494AD78-9063-4E8F-9547-E11B3F594C2F}"/>
    <hyperlink ref="Q78" r:id="rId82" xr:uid="{01764681-7465-4265-AF17-8203290BF4B8}"/>
    <hyperlink ref="Q79" r:id="rId83" xr:uid="{69B580DC-A254-4C15-853F-7BC2FF479DF9}"/>
    <hyperlink ref="R80" r:id="rId84" xr:uid="{1FA6ED66-A65D-4F83-A2C1-15907B098A04}"/>
    <hyperlink ref="R81" r:id="rId85" xr:uid="{D3FFA727-39C6-4550-8D76-F355995393E7}"/>
    <hyperlink ref="Q91" r:id="rId86" xr:uid="{BC7FF498-2BE1-4F35-9A66-C4C5E6932582}"/>
    <hyperlink ref="R91" r:id="rId87" xr:uid="{3CEB3814-7D79-48A2-97CC-B9FF0BBB1044}"/>
    <hyperlink ref="Q99" r:id="rId88" display="mailto:rrbuendia@hotmail.com" xr:uid="{94CAD96C-04A9-4FA3-89BF-B1AA1789CE24}"/>
    <hyperlink ref="R99" r:id="rId89" display="mailto:roberto.buendia@autonomadeica.edu.pe" xr:uid="{E4EC291E-0E4B-4395-9161-97321BAE7D2C}"/>
    <hyperlink ref="Q106" r:id="rId90" xr:uid="{38BF3A5F-FDEC-466B-BE15-23F626CB4AED}"/>
    <hyperlink ref="R106" r:id="rId91" display="mailto:joanna.canales@autonomadeica.edu.pe" xr:uid="{50C336F1-7F5F-406F-945D-214A1FF86646}"/>
    <hyperlink ref="Q110" r:id="rId92" xr:uid="{0BE12EFB-59E1-4411-A0E2-7B89C9D87CB0}"/>
    <hyperlink ref="R110" r:id="rId93" xr:uid="{E4089B60-6B1E-4CE2-84AC-00DFC4F8ED78}"/>
    <hyperlink ref="Q112" r:id="rId94" xr:uid="{C2100556-B69B-422C-9ABF-4B42702F66D7}"/>
    <hyperlink ref="R112" r:id="rId95" display="mailto:ovidio.castillon@autonomadeica.edu.pe" xr:uid="{BB9B37E9-9D58-409F-9C85-DCEB89ACB593}"/>
    <hyperlink ref="Q132" r:id="rId96" xr:uid="{83239C4B-ACF2-4522-8DA7-68799E55315D}"/>
    <hyperlink ref="R132" r:id="rId97" xr:uid="{26BA87CC-0C91-4905-967A-FE0E9B65CBC3}"/>
    <hyperlink ref="R140" r:id="rId98" display="mailto:helen.gamarra@autonomadeica.edu.pe" xr:uid="{A689E4B0-52ED-4E64-9832-13687BD24C1B}"/>
    <hyperlink ref="Q152" r:id="rId99" display="mailto:yadhirahayashi@gmail.com" xr:uid="{1D4FDAE6-52CB-45A8-B299-0932B4C648E4}"/>
    <hyperlink ref="R152" r:id="rId100" display="mailto:yadhira.hayashi@autonomadeica.edu.pe" xr:uid="{20260F86-C70E-4F46-BD34-729A2EA3242D}"/>
    <hyperlink ref="Q154" r:id="rId101" xr:uid="{BFE0E54F-F216-473D-9B6E-D0F6B17A9ED9}"/>
    <hyperlink ref="R154" r:id="rId102" xr:uid="{DD331D57-0BBA-4E20-A70D-9FC8151777C3}"/>
    <hyperlink ref="Q158" r:id="rId103" xr:uid="{254AFC82-E274-4D94-867B-DB6FE7F25F23}"/>
    <hyperlink ref="R158" r:id="rId104" display="mailto:mario.huallanca@autonomadeica.edu.pe" xr:uid="{D7577D8E-D09B-4E31-8510-B52EF25CA0C3}"/>
    <hyperlink ref="Q160" r:id="rId105" xr:uid="{B45885DA-1949-4486-84EF-5942517BEF8A}"/>
    <hyperlink ref="R160" r:id="rId106" display="mailto:elio.huaman@autonomadeica.edu.pe" xr:uid="{EB037EB2-4CF9-4807-8091-E9D4AD29392D}"/>
    <hyperlink ref="Q179" r:id="rId107" display="mailto:jmalaspinac@gmail.com" xr:uid="{899FBA46-2691-45A5-965B-C4EC2229B25E}"/>
    <hyperlink ref="R179" r:id="rId108" display="mailto:javier.malaspina@autonomadeica.edu.pe" xr:uid="{6639ADC3-0B9D-4CAD-A580-85B3B649AA5A}"/>
    <hyperlink ref="Q180" r:id="rId109" xr:uid="{85C441C1-17B1-4BAB-90AB-AF8155392CCF}"/>
    <hyperlink ref="R180" r:id="rId110" xr:uid="{42D10FDD-0A68-4D9E-A59C-D3E97C970C3D}"/>
    <hyperlink ref="Q181" r:id="rId111" xr:uid="{16E4F116-1BF9-47FD-ABDE-A1BFB1003420}"/>
    <hyperlink ref="R181" r:id="rId112" xr:uid="{58BDF5D5-419F-4403-85CC-C09CCC3027E8}"/>
    <hyperlink ref="Q207" r:id="rId113" xr:uid="{AAAF29C2-7DA8-461B-9EBF-AABBAFA501C4}"/>
    <hyperlink ref="R207" r:id="rId114" display="mailto:jose.palomino@autonomadeica.edu.pe" xr:uid="{D82F82AC-4E72-4B9C-BF37-C4CEE142F34D}"/>
    <hyperlink ref="Q218" r:id="rId115" xr:uid="{F338810C-FA3E-4DC3-A8C9-24C184ACD288}"/>
    <hyperlink ref="R218" r:id="rId116" xr:uid="{6F3154F5-2680-4CCA-9A5B-9F5EECF65760}"/>
    <hyperlink ref="Q226" r:id="rId117" display="mailto:greyes7936@gmail.com" xr:uid="{4E06506B-8F48-4E65-A0C4-05221194A709}"/>
    <hyperlink ref="R226" r:id="rId118" display="mailto:mario.reyes@autonomadeica.edu.pe" xr:uid="{B1412FD7-2B1C-45FF-9F72-FF0E45743EEF}"/>
    <hyperlink ref="Q233" r:id="rId119" xr:uid="{85276F48-65B5-4FFA-AEBF-8ACEC5B34CAC}"/>
    <hyperlink ref="R233" r:id="rId120" display="mailto:freddy.sachun@autonomadeica.edu.pe" xr:uid="{D07A3F40-9D4B-42D0-8343-3F108F79482A}"/>
    <hyperlink ref="Q237" r:id="rId121" display="mailto:flordemaria31.c@gmail.com" xr:uid="{1FE338A4-9D85-4577-AA76-DD59F767FC1C}"/>
    <hyperlink ref="R237" r:id="rId122" display="mailto:flor.santiago@autonomadeica.edu.pe" xr:uid="{87C68599-CF49-472C-BA40-B03653E7FF04}"/>
    <hyperlink ref="Q248" r:id="rId123" display="mailto:trabajoeth12@gmail.com" xr:uid="{2CB7AD64-0B9B-4617-82A7-C3EBF0A4F83B}"/>
    <hyperlink ref="R248" r:id="rId124" display="mailto:erlith.tafur@autonomadeica.edu.pe" xr:uid="{4FF5EDCF-26A3-49D5-8C5E-04B12AA30762}"/>
    <hyperlink ref="Q250" r:id="rId125" xr:uid="{DAA32611-BCD0-4DFE-B306-A6C5B7133901}"/>
    <hyperlink ref="R250" r:id="rId126" xr:uid="{F820D2D4-8984-4B09-ADB6-28B32DB9521E}"/>
    <hyperlink ref="Q251" r:id="rId127" xr:uid="{2F5A003C-567B-4889-A119-79D11D2C821E}"/>
    <hyperlink ref="R251" r:id="rId128" xr:uid="{75C5E341-C0EE-4344-97BA-324CE5A96B7F}"/>
    <hyperlink ref="Q259" r:id="rId129" xr:uid="{BBB08C5C-8DFD-4B72-A654-40B38CDA101A}"/>
    <hyperlink ref="R259" r:id="rId130" display="mailto:miguel.vargas@autonomadeica.edu.pe" xr:uid="{3D1B3E3B-F627-4783-A8B3-383606374AA7}"/>
    <hyperlink ref="Q265" r:id="rId131" xr:uid="{5C56B993-B4A8-46C6-A9D1-87AD74152AF6}"/>
    <hyperlink ref="Q115" r:id="rId132" xr:uid="{B6378017-7FE8-4D93-BC0A-A85BEE635141}"/>
    <hyperlink ref="R115" r:id="rId133" xr:uid="{55E75A9F-99EC-43F9-92BE-79273B1F42D7}"/>
    <hyperlink ref="Q137" r:id="rId134" xr:uid="{9974C9A5-0B18-45A1-A1DF-2AEBC3E3779D}"/>
    <hyperlink ref="R137" r:id="rId135" xr:uid="{65C9C5EF-59E3-4B06-BD12-48C9249F1A5A}"/>
    <hyperlink ref="Q227" r:id="rId136" xr:uid="{70B2820E-B961-49D9-8DE1-AFF6B0E62BBC}"/>
    <hyperlink ref="R227" r:id="rId137" display="mailto:bryan.rodriguez@autonomadeica.edu.pe" xr:uid="{B5EF608D-7449-4E69-95B0-72337D0FAC13}"/>
    <hyperlink ref="Q222" r:id="rId138" xr:uid="{CEF0004E-8D71-4D44-A0C0-1EAAA177EFB1}"/>
    <hyperlink ref="R222" r:id="rId139" xr:uid="{D5BFA93B-B388-4D5C-B9F7-6DE24706F153}"/>
    <hyperlink ref="R89" r:id="rId140" xr:uid="{95D1E3F5-094F-47BA-A53C-956E73C778C0}"/>
    <hyperlink ref="R90" r:id="rId141" xr:uid="{E6766369-BC37-4405-9D21-8E77A6BDB50B}"/>
    <hyperlink ref="R121" r:id="rId142" xr:uid="{58CAD993-18E0-4549-A03E-B6D7780B79C8}"/>
    <hyperlink ref="R157" r:id="rId143" xr:uid="{01171693-87D4-45D4-B232-7A08E52D6DE5}"/>
    <hyperlink ref="R161" r:id="rId144" xr:uid="{CACD2C6B-FABC-437E-8F5F-0D083FC8F131}"/>
    <hyperlink ref="R214" r:id="rId145" xr:uid="{F09FC94F-98CC-4B72-8BB9-DACB05871089}"/>
    <hyperlink ref="R258" r:id="rId146" xr:uid="{C0875152-A3E9-4B60-AD95-DB33ADE90CD6}"/>
    <hyperlink ref="R260" r:id="rId147" xr:uid="{2DDAF8C5-575A-4FE0-87B6-901A641B9DF1}"/>
    <hyperlink ref="R164" r:id="rId148" xr:uid="{8530193E-86C5-4CEF-B928-C7D50A2593B8}"/>
    <hyperlink ref="R175" r:id="rId149" xr:uid="{95E6F742-D4BA-4FA1-83DF-5EBC005ADD37}"/>
    <hyperlink ref="R186" r:id="rId150" xr:uid="{416AE97C-8937-4386-9869-51D607A2185D}"/>
    <hyperlink ref="R192" r:id="rId151" xr:uid="{1DE87AAF-87CB-4576-8FC7-FF77F03D44AC}"/>
    <hyperlink ref="R209" r:id="rId152" xr:uid="{6C36E287-A859-4A4C-B529-52CFE6C7BADA}"/>
    <hyperlink ref="R217" r:id="rId153" xr:uid="{4DDF2E02-8B91-42FA-AC59-16E2BECF2C3C}"/>
    <hyperlink ref="R238" r:id="rId154" xr:uid="{0E71D9B9-A1E5-4C28-AAD5-EDB97C20EFDA}"/>
    <hyperlink ref="R247" r:id="rId155" xr:uid="{4B6B7629-4F91-482F-8140-0EC7B51853E8}"/>
    <hyperlink ref="R252" r:id="rId156" xr:uid="{201DA1DD-9530-4CB1-822E-46E09FE6ED35}"/>
    <hyperlink ref="R255" r:id="rId157" xr:uid="{48132062-BEB0-4D61-8533-D1159B1A7F34}"/>
    <hyperlink ref="R198" r:id="rId158" xr:uid="{9B8A9D8C-7792-4A4A-B9CB-219E0152EB23}"/>
    <hyperlink ref="R201" r:id="rId159" xr:uid="{8D7D2052-4CE7-4AD3-9C9E-E90023E0087D}"/>
    <hyperlink ref="R215" r:id="rId160" xr:uid="{DBFA4BD3-F0CE-4801-AF42-49C8CFA4EB64}"/>
    <hyperlink ref="R177" r:id="rId161" xr:uid="{65A0146D-8972-4799-953B-2BCC89270306}"/>
    <hyperlink ref="R138" r:id="rId162" xr:uid="{55D56271-3454-4CEC-87A7-765C881196D9}"/>
    <hyperlink ref="R149" r:id="rId163" xr:uid="{033BB38D-3983-40E6-A9B8-26EEC868A108}"/>
    <hyperlink ref="R268" r:id="rId164" xr:uid="{0B23688B-1338-4EC3-A3BB-C47B8619D7C0}"/>
    <hyperlink ref="R256" r:id="rId165" xr:uid="{7058B0EB-589F-4A50-944C-6B5EC1FE40FD}"/>
    <hyperlink ref="R213" r:id="rId166" xr:uid="{0F13F751-1C98-412E-9CEE-997B3EE6EE62}"/>
    <hyperlink ref="R211" r:id="rId167" xr:uid="{2AD8EE08-6AA4-4FB1-A5E8-E6254C3EA54C}"/>
    <hyperlink ref="R206" r:id="rId168" xr:uid="{807496B5-8569-4EBF-850C-1C80858E4006}"/>
    <hyperlink ref="R205" r:id="rId169" xr:uid="{BAAAB66A-6A75-48E8-8DCF-D849F3863A34}"/>
    <hyperlink ref="R204" r:id="rId170" xr:uid="{5001D9F5-8CFF-4047-9E7A-475C197230F9}"/>
    <hyperlink ref="R200" r:id="rId171" xr:uid="{0CCC1862-6E78-440F-B3FF-6ADC152BD6C3}"/>
    <hyperlink ref="R185" r:id="rId172" xr:uid="{667CB127-C2E0-46E6-9DF4-111BDBF1BA2D}"/>
    <hyperlink ref="R176" r:id="rId173" xr:uid="{A5330F78-252F-4894-87E3-5C02765CAAA1}"/>
    <hyperlink ref="R82" r:id="rId174" xr:uid="{9A6D4C0C-03DB-44A0-966A-4F52E7241B76}"/>
    <hyperlink ref="R92" r:id="rId175" xr:uid="{47DFD5A1-868E-4250-895A-1E29EAECA4A8}"/>
  </hyperlinks>
  <pageMargins left="0.7" right="0.7" top="0.75" bottom="0.75" header="0.3" footer="0.3"/>
  <legacyDrawing r:id="rId17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FE24-53CC-4A7C-A3DE-EB6A197B2B85}">
  <dimension ref="B4:L47"/>
  <sheetViews>
    <sheetView topLeftCell="A6" workbookViewId="0">
      <selection activeCell="G26" sqref="G26"/>
    </sheetView>
  </sheetViews>
  <sheetFormatPr defaultColWidth="11.42578125" defaultRowHeight="15"/>
  <cols>
    <col min="1" max="1" width="5.7109375" customWidth="1"/>
    <col min="3" max="3" width="28.28515625" customWidth="1"/>
    <col min="4" max="4" width="28.140625" bestFit="1" customWidth="1"/>
    <col min="5" max="6" width="21.42578125" bestFit="1" customWidth="1"/>
    <col min="7" max="7" width="17.140625" customWidth="1"/>
    <col min="8" max="9" width="15.5703125" bestFit="1" customWidth="1"/>
    <col min="10" max="10" width="13.7109375" bestFit="1" customWidth="1"/>
  </cols>
  <sheetData>
    <row r="4" spans="2:10">
      <c r="B4" s="55" t="s">
        <v>68</v>
      </c>
      <c r="C4" s="55"/>
      <c r="D4" s="55"/>
    </row>
    <row r="5" spans="2:10">
      <c r="B5" s="53"/>
      <c r="C5" s="58" t="s">
        <v>683</v>
      </c>
      <c r="D5" s="58" t="s">
        <v>679</v>
      </c>
      <c r="E5" s="59" t="s">
        <v>1227</v>
      </c>
      <c r="F5" s="59" t="s">
        <v>1228</v>
      </c>
    </row>
    <row r="6" spans="2:10">
      <c r="B6" s="54" t="s">
        <v>845</v>
      </c>
      <c r="C6" s="54">
        <f>+SUM(COUNTIFS(OGTH!$AC:$AC,$B4,OGTH!$AF:$AF,"ADMINISTRACION DE EMPRESAS",OGTH!$V:$V,"TC"),COUNTIFS(OGTH!$AC:$AC,$B4,OGTH!$AF:$AF,"ADMINISTRACION DE EMPRESAS - EEGG",OGTH!$V:$V,"TC"))</f>
        <v>0</v>
      </c>
      <c r="D6" s="54">
        <f>+SUM(COUNTIFS(OGTH!$AC:$AC,$B4,OGTH!$AF:$AF,"DERECHO",OGTH!$V:$V,"TC"),COUNTIFS(OGTH!$AC:$AC,$B4,OGTH!$AF:$AF,"DERECHO - EEGG",OGTH!$V:$V,"TC"))</f>
        <v>2</v>
      </c>
      <c r="E6" s="54">
        <f>+SUM(C6:D6)</f>
        <v>2</v>
      </c>
      <c r="F6" s="56">
        <f>+E6/E8</f>
        <v>6.6666666666666666E-2</v>
      </c>
    </row>
    <row r="7" spans="2:10">
      <c r="B7" s="54" t="s">
        <v>838</v>
      </c>
      <c r="C7" s="54">
        <f>+SUM(COUNTIFS(OGTH!$AC:$AC,$B4,OGTH!$AF:$AF,"ADMINISTRACION DE EMPRESAS",OGTH!$V:$V,"TP"),COUNTIFS(OGTH!$AC:$AC,$B4,OGTH!$AF:$AF,"ADMINISTRACION DE EMPRESAS - EEGG",OGTH!$V:$V,"TP"))</f>
        <v>11</v>
      </c>
      <c r="D7" s="54">
        <f>+SUM(COUNTIFS(OGTH!$AC:$AC,$B4,OGTH!$AF:$AF,"DERECHO",OGTH!$V:$V,"TP"),COUNTIFS(OGTH!$AC:$AC,$B4,OGTH!$AF:$AF,"DERECHO - EEGG",OGTH!$V:$V,"TP"))</f>
        <v>17</v>
      </c>
      <c r="E7" s="54">
        <f>+SUM(C7:D7)</f>
        <v>28</v>
      </c>
      <c r="F7" s="56">
        <f>+E7/E8</f>
        <v>0.93333333333333335</v>
      </c>
    </row>
    <row r="8" spans="2:10">
      <c r="B8" s="54" t="s">
        <v>1227</v>
      </c>
      <c r="C8" s="54">
        <f>+C6+C7</f>
        <v>11</v>
      </c>
      <c r="D8" s="54">
        <f>+D6+D7</f>
        <v>19</v>
      </c>
      <c r="E8" s="54">
        <f>+E6+E7</f>
        <v>30</v>
      </c>
      <c r="F8" s="56">
        <f>+F6+F7</f>
        <v>1</v>
      </c>
    </row>
    <row r="9" spans="2:10">
      <c r="B9" s="54" t="s">
        <v>1229</v>
      </c>
      <c r="C9" s="56">
        <f>+C6/C8</f>
        <v>0</v>
      </c>
      <c r="D9" s="56">
        <f>+D6/D8</f>
        <v>0.10526315789473684</v>
      </c>
    </row>
    <row r="10" spans="2:10">
      <c r="B10" s="54" t="s">
        <v>1230</v>
      </c>
      <c r="C10" s="56">
        <f>+C7/C8</f>
        <v>1</v>
      </c>
      <c r="D10" s="56">
        <f>+D7/D8</f>
        <v>0.89473684210526316</v>
      </c>
    </row>
    <row r="11" spans="2:10">
      <c r="B11" s="54" t="s">
        <v>1228</v>
      </c>
      <c r="C11" s="57">
        <f>+C9+C10</f>
        <v>1</v>
      </c>
      <c r="D11" s="57">
        <f>+D9+D10</f>
        <v>1</v>
      </c>
    </row>
    <row r="14" spans="2:10">
      <c r="B14" s="55" t="s">
        <v>40</v>
      </c>
      <c r="C14" s="55"/>
      <c r="D14" s="55"/>
    </row>
    <row r="15" spans="2:10">
      <c r="B15" s="53"/>
      <c r="C15" s="58" t="s">
        <v>683</v>
      </c>
      <c r="D15" s="58" t="s">
        <v>728</v>
      </c>
      <c r="E15" s="58" t="s">
        <v>702</v>
      </c>
      <c r="F15" s="58" t="s">
        <v>739</v>
      </c>
      <c r="G15" s="58" t="s">
        <v>679</v>
      </c>
      <c r="H15" s="58" t="s">
        <v>710</v>
      </c>
      <c r="I15" s="59" t="s">
        <v>1227</v>
      </c>
      <c r="J15" s="59" t="s">
        <v>1228</v>
      </c>
    </row>
    <row r="16" spans="2:10">
      <c r="B16" s="54" t="s">
        <v>845</v>
      </c>
      <c r="C16" s="54">
        <f>+SUM(COUNTIFS(OGTH!$AC:$AC,$B14,OGTH!$AF:$AF,"ADMINISTRACION DE EMPRESAS",OGTH!$V:$V,"TC"),COUNTIFS(OGTH!$AC:$AC,$B14,OGTH!$AF:$AF,"ADMINISTRACION DE EMPRESAS - EEGG",OGTH!$V:$V,"TC"))</f>
        <v>0</v>
      </c>
      <c r="D16" s="54">
        <f>+SUM(COUNTIFS(OGTH!$AC:$AC,$B14,OGTH!$AF:$AF,"ADMINISTRACION Y FINANZAS",OGTH!$V:$V,"TC"),COUNTIFS(OGTH!$AC:$AC,$B14,OGTH!$AF:$AF,"ADMINISTRACION Y FINANZAS - EEGG",OGTH!$V:$V,"TC"))</f>
        <v>0</v>
      </c>
      <c r="E16" s="54">
        <f>+SUM(COUNTIFS(OGTH!$AC:$AC,$B14,OGTH!$AF:$AF,"INGENIERIA INDUSTRIAL",OGTH!$V:$V,"TC"),COUNTIFS(OGTH!$AC:$AC,$B14,OGTH!$AF:$AF,"INGENIERIA INDUSTRIAL - EEGG",OGTH!$V:$V,"TC"))</f>
        <v>0</v>
      </c>
      <c r="F16" s="54">
        <f>+SUM(COUNTIFS(OGTH!$AC:$AC,$B14,OGTH!$AF:$AF,"CONTABILIDAD",OGTH!$V:$V,"TC"),COUNTIFS(OGTH!$AC:$AC,$B14,OGTH!$AF:$AF,"CONTABILIDAD - EEGG",OGTH!$V:$V,"TC"))</f>
        <v>0</v>
      </c>
      <c r="G16" s="54">
        <f>+SUM(COUNTIFS(OGTH!$AC:$AC,$B14,OGTH!$AF:$AF,"DERECHO",OGTH!$V:$V,"TC"),COUNTIFS(OGTH!$AC:$AC,$B14,OGTH!$AF:$AF,"DERECHO - EEGG",OGTH!$V:$V,"TC"))</f>
        <v>3</v>
      </c>
      <c r="H16" s="54">
        <f>+SUM(COUNTIFS(OGTH!$AC:$AC,$B14,OGTH!$AF:$AF,"INGENIERIA CIVIL",OGTH!$V:$V,"TC"),COUNTIFS(OGTH!$AC:$AC,$B14,OGTH!$AF:$AF,"INGENIERIA CIVIL - EEGG",OGTH!$V:$V,"TC"))</f>
        <v>2</v>
      </c>
      <c r="I16" s="54">
        <f>+SUM(C16:H16)</f>
        <v>5</v>
      </c>
      <c r="J16" s="56">
        <f>+I16/I18</f>
        <v>0.12820512820512819</v>
      </c>
    </row>
    <row r="17" spans="2:11">
      <c r="B17" s="54" t="s">
        <v>838</v>
      </c>
      <c r="C17" s="54">
        <f>+SUM(COUNTIFS(OGTH!$AC:$AC,$B14,OGTH!$AF:$AF,"ADMINISTRACION DE EMPRESAS",OGTH!$V:$V,"TP"),COUNTIFS(OGTH!$AC:$AC,$B14,OGTH!$AF:$AF,"ADMINISTRACION DE EMPRESAS - EEGG",OGTH!$V:$V,"TP"))</f>
        <v>0</v>
      </c>
      <c r="D17" s="54">
        <f>+SUM(COUNTIFS(OGTH!$AC:$AC,$B14,OGTH!$AF:$AF,"ADMINISTRACION Y FINANZAS",OGTH!$V:$V,"TP"),COUNTIFS(OGTH!$AC:$AC,$B14,OGTH!$AF:$AF,"ADMINISTRACION Y FINANZAS - EEGG",OGTH!$V:$V,"TP"))</f>
        <v>2</v>
      </c>
      <c r="E17" s="54">
        <f>+SUM(COUNTIFS(OGTH!$AC:$AC,$B14,OGTH!$AF:$AF,"INGENIERIA INDUSTRIAL",OGTH!$V:$V,"TP"),COUNTIFS(OGTH!$AC:$AC,$B14,OGTH!$AF:$AF,"INGENIERIA INDUSTRIAL - EEGG",OGTH!$V:$V,"TP"))</f>
        <v>2</v>
      </c>
      <c r="F17" s="54">
        <f>+SUM(COUNTIFS(OGTH!$AC:$AC,$B14,OGTH!$AF:$AF,"CONTABILIDAD",OGTH!$V:$V,"TP"),COUNTIFS(OGTH!$AC:$AC,$B14,OGTH!$AF:$AF,"CONTABILIDAD - EEGG",OGTH!$V:$V,"TP"))</f>
        <v>6</v>
      </c>
      <c r="G17" s="54">
        <f>+SUM(COUNTIFS(OGTH!$AC:$AC,$B14,OGTH!$AF:$AF,"DERECHO",OGTH!$V:$V,"TP"),COUNTIFS(OGTH!$AC:$AC,$B14,OGTH!$AF:$AF,"DERECHO - EEGG",OGTH!$V:$V,"TP"))</f>
        <v>15</v>
      </c>
      <c r="H17" s="54">
        <f>+SUM(COUNTIFS(OGTH!$AC:$AC,$B14,OGTH!$AF:$AF,"INGENIERIA CIVIL",OGTH!$V:$V,"TP"),COUNTIFS(OGTH!$AC:$AC,$B14,OGTH!$AF:$AF,"INGENIERIA CIVIL - EEGG",OGTH!$V:$V,"TP"))</f>
        <v>9</v>
      </c>
      <c r="I17" s="54">
        <f>+SUM(C17:H17)</f>
        <v>34</v>
      </c>
      <c r="J17" s="56">
        <f>+I17/I18</f>
        <v>0.87179487179487181</v>
      </c>
    </row>
    <row r="18" spans="2:11">
      <c r="B18" s="54" t="s">
        <v>1227</v>
      </c>
      <c r="C18" s="54">
        <f t="shared" ref="C18:J18" si="0">+C16+C17</f>
        <v>0</v>
      </c>
      <c r="D18" s="54">
        <f t="shared" si="0"/>
        <v>2</v>
      </c>
      <c r="E18" s="54">
        <f t="shared" si="0"/>
        <v>2</v>
      </c>
      <c r="F18" s="54">
        <f t="shared" si="0"/>
        <v>6</v>
      </c>
      <c r="G18" s="54">
        <f t="shared" si="0"/>
        <v>18</v>
      </c>
      <c r="H18" s="54">
        <f t="shared" si="0"/>
        <v>11</v>
      </c>
      <c r="I18" s="54">
        <f t="shared" si="0"/>
        <v>39</v>
      </c>
      <c r="J18" s="56">
        <f t="shared" si="0"/>
        <v>1</v>
      </c>
    </row>
    <row r="19" spans="2:11">
      <c r="B19" s="54" t="s">
        <v>1229</v>
      </c>
      <c r="C19" s="56" t="e">
        <f t="shared" ref="C19:H19" si="1">+C16/C18</f>
        <v>#DIV/0!</v>
      </c>
      <c r="D19" s="56">
        <f t="shared" si="1"/>
        <v>0</v>
      </c>
      <c r="E19" s="56">
        <f t="shared" si="1"/>
        <v>0</v>
      </c>
      <c r="F19" s="56">
        <f t="shared" si="1"/>
        <v>0</v>
      </c>
      <c r="G19" s="56">
        <f t="shared" si="1"/>
        <v>0.16666666666666666</v>
      </c>
      <c r="H19" s="56">
        <f t="shared" si="1"/>
        <v>0.18181818181818182</v>
      </c>
    </row>
    <row r="20" spans="2:11">
      <c r="B20" s="54" t="s">
        <v>1230</v>
      </c>
      <c r="C20" s="56" t="e">
        <f t="shared" ref="C20:H20" si="2">+C17/C18</f>
        <v>#DIV/0!</v>
      </c>
      <c r="D20" s="56">
        <f t="shared" si="2"/>
        <v>1</v>
      </c>
      <c r="E20" s="56">
        <f t="shared" si="2"/>
        <v>1</v>
      </c>
      <c r="F20" s="56">
        <f t="shared" si="2"/>
        <v>1</v>
      </c>
      <c r="G20" s="56">
        <f t="shared" si="2"/>
        <v>0.83333333333333337</v>
      </c>
      <c r="H20" s="56">
        <f t="shared" si="2"/>
        <v>0.81818181818181823</v>
      </c>
    </row>
    <row r="21" spans="2:11">
      <c r="B21" s="54" t="s">
        <v>1228</v>
      </c>
      <c r="C21" s="57" t="e">
        <f t="shared" ref="C21:H21" si="3">+C19+C20</f>
        <v>#DIV/0!</v>
      </c>
      <c r="D21" s="57">
        <f t="shared" si="3"/>
        <v>1</v>
      </c>
      <c r="E21" s="57">
        <f t="shared" si="3"/>
        <v>1</v>
      </c>
      <c r="F21" s="57">
        <f t="shared" si="3"/>
        <v>1</v>
      </c>
      <c r="G21" s="57">
        <f t="shared" si="3"/>
        <v>1</v>
      </c>
      <c r="H21" s="57">
        <f t="shared" si="3"/>
        <v>1</v>
      </c>
    </row>
    <row r="24" spans="2:11">
      <c r="B24" s="55" t="s">
        <v>19</v>
      </c>
      <c r="C24" s="55"/>
      <c r="D24" s="55"/>
    </row>
    <row r="25" spans="2:11">
      <c r="B25" s="53"/>
      <c r="C25" s="58" t="s">
        <v>683</v>
      </c>
      <c r="D25" s="58" t="s">
        <v>728</v>
      </c>
      <c r="E25" s="58" t="s">
        <v>771</v>
      </c>
      <c r="F25" s="58" t="s">
        <v>702</v>
      </c>
      <c r="G25" s="58" t="s">
        <v>679</v>
      </c>
      <c r="H25" s="58" t="s">
        <v>710</v>
      </c>
      <c r="I25" s="58" t="s">
        <v>1231</v>
      </c>
      <c r="J25" s="59" t="s">
        <v>1227</v>
      </c>
      <c r="K25" s="59" t="s">
        <v>1228</v>
      </c>
    </row>
    <row r="26" spans="2:11">
      <c r="B26" s="54" t="s">
        <v>845</v>
      </c>
      <c r="C26" s="54">
        <f>+SUM(COUNTIFS(OGTH!$AC:$AC,$B24,OGTH!$AF:$AF,"ADMINISTRACION DE EMPRESAS",OGTH!$V:$V,"TC"),COUNTIFS(OGTH!$AC:$AC,$B24,OGTH!$AF:$AF,"ADMINISTRACION DE EMPRESAS - EEGG",OGTH!$V:$V,"TC"))</f>
        <v>1</v>
      </c>
      <c r="D26" s="54">
        <f>+SUM(COUNTIFS(OGTH!$AC:$AC,$B24,OGTH!$AF:$AF,"ADMINISTRACION Y FINANZAS",OGTH!$V:$V,"TC"),COUNTIFS(OGTH!$AC:$AC,$B24,OGTH!$AF:$AF,"ADMINISTRACION Y FINANZAS - EEGG",OGTH!$V:$V,"TC"))</f>
        <v>3</v>
      </c>
      <c r="E26" s="54">
        <f>+SUM(COUNTIFS(OGTH!$AC:$AC,$B24,OGTH!$AF:$AF,"INGENIERIA DE SISTEMAS",OGTH!$V:$V,"TC"),COUNTIFS(OGTH!$AC:$AC,$B24,OGTH!$AF:$AF,"INGENIERIA DE SISTEMAS - EEGG",OGTH!$V:$V,"TC"))</f>
        <v>4</v>
      </c>
      <c r="F26" s="54">
        <f>+SUM(COUNTIFS(OGTH!$AC:$AC,$B24,OGTH!$AF:$AF,"INGENIERIA INDUSTRIAL",OGTH!$V:$V,"TC"),COUNTIFS(OGTH!$AC:$AC,$B24,OGTH!$AF:$AF,"INGENIERIA INDUSTRIAL - EEGG",OGTH!$V:$V,"TC"))</f>
        <v>8</v>
      </c>
      <c r="G26" s="54">
        <f>+SUM(COUNTIFS(OGTH!$AC:$AC,$B24,OGTH!$AF:$AF,"DERECHO",OGTH!$V:$V,"TC"),COUNTIFS(OGTH!$AC:$AC,$B24,OGTH!$AF:$AF,"DERECHO - EEGG",OGTH!$V:$V,"TC"))</f>
        <v>3</v>
      </c>
      <c r="H26" s="54">
        <f>+SUM(COUNTIFS(OGTH!$AC:$AC,$B24,OGTH!$AF:$AF,"INGENIERIA CIVIL",OGTH!$V:$V,"TC"),COUNTIFS(OGTH!$AC:$AC,$B24,OGTH!$AF:$AF,"INGENIERIA CIVIL - EEGG",OGTH!$V:$V,"TC"))</f>
        <v>2</v>
      </c>
      <c r="I26" s="54">
        <f>+SUM(COUNTIFS(OGTH!$AC:$AC,$B24,OGTH!$AF:$AF,"ARQUITECTURA",OGTH!$V:$V,"TC"),COUNTIFS(OGTH!$AC:$AC,$B24,OGTH!$AF:$AF,"ARQUITECTURA - EEGG",OGTH!$V:$V,"TC"))</f>
        <v>1</v>
      </c>
      <c r="J26" s="54">
        <f>+SUM(C26:I26)</f>
        <v>22</v>
      </c>
      <c r="K26" s="56">
        <f>+J26/J28</f>
        <v>0.22448979591836735</v>
      </c>
    </row>
    <row r="27" spans="2:11">
      <c r="B27" s="54" t="s">
        <v>838</v>
      </c>
      <c r="C27" s="54">
        <f>+SUM(COUNTIFS(OGTH!$AC:$AC,$B24,OGTH!$AF:$AF,"ADMINISTRACION DE EMPRESAS",OGTH!$V:$V,"TP"),COUNTIFS(OGTH!$AC:$AC,$B24,OGTH!$AF:$AF,"ADMINISTRACION DE EMPRESAS - EEGG",OGTH!$V:$V,"TP"))</f>
        <v>7</v>
      </c>
      <c r="D27" s="54">
        <f>+SUM(COUNTIFS(OGTH!$AC:$AC,$B24,OGTH!$AF:$AF,"ADMINISTRACION Y FINANZAS",OGTH!$V:$V,"TP"),COUNTIFS(OGTH!$AC:$AC,$B24,OGTH!$AF:$AF,"ADMINISTRACION Y FINANZAS - EEGG",OGTH!$V:$V,"TP"))</f>
        <v>11</v>
      </c>
      <c r="E27" s="54">
        <f>+SUM(COUNTIFS(OGTH!$AC:$AC,$B24,OGTH!$AF:$AF,"INGENIERIA DE SISTEMAS",OGTH!$V:$V,"TP"),COUNTIFS(OGTH!$AC:$AC,$B24,OGTH!$AF:$AF,"INGENIERIA DE SISTEMAS - EEGG",OGTH!$V:$V,"TP"))</f>
        <v>12</v>
      </c>
      <c r="F27" s="54">
        <f>+SUM(COUNTIFS(OGTH!$AC:$AC,$B24,OGTH!$AF:$AF,"INGENIERIA INDUSTRIAL",OGTH!$V:$V,"TP"),COUNTIFS(OGTH!$AC:$AC,$B24,OGTH!$AF:$AF,"INGENIERIA INDUSTRIAL - EEGG",OGTH!$V:$V,"TP"))</f>
        <v>27</v>
      </c>
      <c r="G27" s="54">
        <f>+SUM(COUNTIFS(OGTH!$AC:$AC,$B24,OGTH!$AF:$AF,"DERECHO",OGTH!$V:$V,"TP"),COUNTIFS(OGTH!$AC:$AC,$B24,OGTH!$AF:$AF,"DERECHO - EEGG",OGTH!$V:$V,"TP"))</f>
        <v>11</v>
      </c>
      <c r="H27" s="54">
        <f>+SUM(COUNTIFS(OGTH!$AC:$AC,$B24,OGTH!$AF:$AF,"INGENIERIA CIVIL",OGTH!$V:$V,"TP"),COUNTIFS(OGTH!$AC:$AC,$B24,OGTH!$AF:$AF,"INGENIERIA CIVIL - EEGG",OGTH!$V:$V,"TP"))</f>
        <v>5</v>
      </c>
      <c r="I27" s="54">
        <f>+SUM(COUNTIFS(OGTH!$AC:$AC,$B24,OGTH!$AF:$AF,"ARQUITECTURA",OGTH!$V:$V,"TP"),COUNTIFS(OGTH!$AC:$AC,$B24,OGTH!$AF:$AF,"ARQUITECTURA - EEGG",OGTH!$V:$V,"TP"))</f>
        <v>3</v>
      </c>
      <c r="J27" s="54">
        <f>+SUM(C27:I27)</f>
        <v>76</v>
      </c>
      <c r="K27" s="56">
        <f>+J27/J28</f>
        <v>0.77551020408163263</v>
      </c>
    </row>
    <row r="28" spans="2:11">
      <c r="B28" s="54" t="s">
        <v>1227</v>
      </c>
      <c r="C28" s="54">
        <f t="shared" ref="C28:K28" si="4">+C26+C27</f>
        <v>8</v>
      </c>
      <c r="D28" s="54">
        <f t="shared" si="4"/>
        <v>14</v>
      </c>
      <c r="E28" s="54">
        <f t="shared" si="4"/>
        <v>16</v>
      </c>
      <c r="F28" s="54">
        <f t="shared" si="4"/>
        <v>35</v>
      </c>
      <c r="G28" s="54">
        <f t="shared" si="4"/>
        <v>14</v>
      </c>
      <c r="H28" s="54">
        <f t="shared" si="4"/>
        <v>7</v>
      </c>
      <c r="I28" s="54">
        <f t="shared" si="4"/>
        <v>4</v>
      </c>
      <c r="J28" s="54">
        <f t="shared" si="4"/>
        <v>98</v>
      </c>
      <c r="K28" s="56">
        <f t="shared" si="4"/>
        <v>1</v>
      </c>
    </row>
    <row r="29" spans="2:11">
      <c r="B29" s="54" t="s">
        <v>1229</v>
      </c>
      <c r="C29" s="56">
        <f t="shared" ref="C29:I29" si="5">+C26/C28</f>
        <v>0.125</v>
      </c>
      <c r="D29" s="56">
        <f t="shared" si="5"/>
        <v>0.21428571428571427</v>
      </c>
      <c r="E29" s="56">
        <f t="shared" si="5"/>
        <v>0.25</v>
      </c>
      <c r="F29" s="56">
        <f t="shared" si="5"/>
        <v>0.22857142857142856</v>
      </c>
      <c r="G29" s="56">
        <f t="shared" si="5"/>
        <v>0.21428571428571427</v>
      </c>
      <c r="H29" s="56">
        <f t="shared" si="5"/>
        <v>0.2857142857142857</v>
      </c>
      <c r="I29" s="56">
        <f t="shared" si="5"/>
        <v>0.25</v>
      </c>
    </row>
    <row r="30" spans="2:11">
      <c r="B30" s="54" t="s">
        <v>1230</v>
      </c>
      <c r="C30" s="56">
        <f t="shared" ref="C30:I30" si="6">+C27/C28</f>
        <v>0.875</v>
      </c>
      <c r="D30" s="56">
        <f t="shared" si="6"/>
        <v>0.7857142857142857</v>
      </c>
      <c r="E30" s="56">
        <f t="shared" si="6"/>
        <v>0.75</v>
      </c>
      <c r="F30" s="56">
        <f t="shared" si="6"/>
        <v>0.77142857142857146</v>
      </c>
      <c r="G30" s="56">
        <f t="shared" si="6"/>
        <v>0.7857142857142857</v>
      </c>
      <c r="H30" s="56">
        <f t="shared" si="6"/>
        <v>0.7142857142857143</v>
      </c>
      <c r="I30" s="56">
        <f t="shared" si="6"/>
        <v>0.75</v>
      </c>
    </row>
    <row r="31" spans="2:11">
      <c r="B31" s="54" t="s">
        <v>1228</v>
      </c>
      <c r="C31" s="57">
        <f t="shared" ref="C31:I31" si="7">+C29+C30</f>
        <v>1</v>
      </c>
      <c r="D31" s="57">
        <f t="shared" si="7"/>
        <v>1</v>
      </c>
      <c r="E31" s="57">
        <f t="shared" si="7"/>
        <v>1</v>
      </c>
      <c r="F31" s="57">
        <f t="shared" si="7"/>
        <v>1</v>
      </c>
      <c r="G31" s="57">
        <f t="shared" si="7"/>
        <v>1</v>
      </c>
      <c r="H31" s="57">
        <f t="shared" si="7"/>
        <v>1</v>
      </c>
      <c r="I31" s="57">
        <f t="shared" si="7"/>
        <v>1</v>
      </c>
    </row>
    <row r="34" spans="2:12">
      <c r="B34" s="55" t="s">
        <v>1232</v>
      </c>
      <c r="C34" s="55"/>
      <c r="D34" s="55"/>
    </row>
    <row r="35" spans="2:12">
      <c r="B35" s="53"/>
      <c r="C35" s="58" t="s">
        <v>683</v>
      </c>
      <c r="D35" s="58" t="s">
        <v>728</v>
      </c>
      <c r="E35" s="58" t="s">
        <v>771</v>
      </c>
      <c r="F35" s="58" t="s">
        <v>702</v>
      </c>
      <c r="G35" s="58" t="s">
        <v>739</v>
      </c>
      <c r="H35" s="58" t="s">
        <v>679</v>
      </c>
      <c r="I35" s="58" t="s">
        <v>710</v>
      </c>
      <c r="J35" s="58" t="s">
        <v>1231</v>
      </c>
      <c r="K35" s="59" t="s">
        <v>1227</v>
      </c>
      <c r="L35" s="59" t="s">
        <v>1228</v>
      </c>
    </row>
    <row r="36" spans="2:12">
      <c r="B36" s="54" t="s">
        <v>845</v>
      </c>
      <c r="C36" s="54">
        <f>+SUM(COUNTIFS(OGTH!$AF:$AF,"ADMINISTRACION DE EMPRESAS",OGTH!$V:$V,"TC"),COUNTIFS(OGTH!$AF:$AF,"ADMINISTRACION DE EMPRESAS - EEGG",OGTH!$V:$V,"TC"))</f>
        <v>1</v>
      </c>
      <c r="D36" s="54">
        <f>+SUM(COUNTIFS(OGTH!$AF:$AF,"ADMINISTRACION Y FINANZAS",OGTH!$V:$V,"TC"),COUNTIFS(OGTH!$AF:$AF,"ADMINISTRACION Y FINANZAS - EEGG",OGTH!$V:$V,"TC"))</f>
        <v>3</v>
      </c>
      <c r="E36" s="54">
        <f>+SUM(COUNTIFS(OGTH!$AF:$AF,"INGENIERIA DE SISTEMAS",OGTH!$V:$V,"TC"),COUNTIFS(OGTH!$AF:$AF,"INGENIERIA DE SISTEMAS - EEGG",OGTH!$V:$V,"TC"))</f>
        <v>4</v>
      </c>
      <c r="F36" s="54">
        <f>+SUM(COUNTIFS(OGTH!$AF:$AF,"INGENIERIA INDUSTRIAL",OGTH!$V:$V,"TC"),COUNTIFS(OGTH!$AF:$AF,"INGENIERIA INDUSTRIAL - EEGG",OGTH!$V:$V,"TC"))</f>
        <v>8</v>
      </c>
      <c r="G36" s="54">
        <f>+SUM(COUNTIFS(OGTH!$AF:$AF,"CONTABILIDAD",OGTH!$V:$V,"TC"),COUNTIFS(OGTH!$AF:$AF,"CONTABILIDAD - EEGG",OGTH!$V:$V,"TC"))</f>
        <v>0</v>
      </c>
      <c r="H36" s="54">
        <f>+SUM(COUNTIFS(OGTH!$AF:$AF,"DERECHO",OGTH!$V:$V,"TC"),COUNTIFS(OGTH!$AF:$AF,"DERECHO - EEGG",OGTH!$V:$V,"TC"))</f>
        <v>8</v>
      </c>
      <c r="I36" s="54">
        <f>+SUM(COUNTIFS(OGTH!$AF:$AF,"INGENIERIA CIVIL",OGTH!$V:$V,"TC"),COUNTIFS(OGTH!$AF:$AF,"INGENIERIA CIVIL - EEGG",OGTH!$V:$V,"TC"))</f>
        <v>4</v>
      </c>
      <c r="J36" s="54">
        <f>+SUM(COUNTIFS(OGTH!$AF:$AF,"ARQUITECTURA",OGTH!$V:$V,"TC"),COUNTIFS(OGTH!$AF:$AF,"ARQUITECTURA - EEGG",OGTH!$V:$V,"TC"))</f>
        <v>1</v>
      </c>
      <c r="K36" s="54">
        <f>+SUM(C36:J36)</f>
        <v>29</v>
      </c>
      <c r="L36" s="56">
        <f>+K36/K38</f>
        <v>0.17365269461077845</v>
      </c>
    </row>
    <row r="37" spans="2:12">
      <c r="B37" s="54" t="s">
        <v>838</v>
      </c>
      <c r="C37" s="54">
        <f>+SUM(COUNTIFS(OGTH!$AF:$AF,"ADMINISTRACION DE EMPRESAS",OGTH!$V:$V,"TP"),COUNTIFS(OGTH!$AF:$AF,"ADMINISTRACION DE EMPRESAS - EEGG",OGTH!$V:$V,"TP"))</f>
        <v>18</v>
      </c>
      <c r="D37" s="54">
        <f>+SUM(COUNTIFS(OGTH!$AF:$AF,"ADMINISTRACION Y FINANZAS",OGTH!$V:$V,"TP"),COUNTIFS(OGTH!$AF:$AF,"ADMINISTRACION Y FINANZAS - EEGG",OGTH!$V:$V,"TP"))</f>
        <v>13</v>
      </c>
      <c r="E37" s="54">
        <f>+SUM(COUNTIFS(OGTH!$AF:$AF,"INGENIERIA DE SISTEMAS",OGTH!$V:$V,"TP"),COUNTIFS(OGTH!$AF:$AF,"INGENIERIA DE SISTEMAS - EEGG",OGTH!$V:$V,"TP"))</f>
        <v>12</v>
      </c>
      <c r="F37" s="54">
        <f>+SUM(COUNTIFS(OGTH!$AF:$AF,"INGENIERIA INDUSTRIAL",OGTH!$V:$V,"TP"),COUNTIFS(OGTH!$AF:$AF,"INGENIERIA INDUSTRIAL - EEGG",OGTH!$V:$V,"TP"))</f>
        <v>29</v>
      </c>
      <c r="G37" s="54">
        <f>+SUM(COUNTIFS(OGTH!$AF:$AF,"CONTABILIDAD",OGTH!$V:$V,"TP"),COUNTIFS(OGTH!$AF:$AF,"CONTABILIDAD - EEGG",OGTH!$V:$V,"TP"))</f>
        <v>6</v>
      </c>
      <c r="H37" s="54">
        <f>+SUM(COUNTIFS(OGTH!$AF:$AF,"DERECHO",OGTH!$V:$V,"TP"),COUNTIFS(OGTH!$AF:$AF,"DERECHO - EEGG",OGTH!$V:$V,"TP"))</f>
        <v>43</v>
      </c>
      <c r="I37" s="54">
        <f>+SUM(COUNTIFS(OGTH!$AF:$AF,"INGENIERIA CIVIL",OGTH!$V:$V,"TP"),COUNTIFS(OGTH!$AF:$AF,"INGENIERIA CIVIL - EEGG",OGTH!$V:$V,"TP"))</f>
        <v>14</v>
      </c>
      <c r="J37" s="54">
        <f>+SUM(COUNTIFS(OGTH!$AF:$AF,"ARQUITECTURA",OGTH!$V:$V,"TP"),COUNTIFS(OGTH!$AF:$AF,"ARQUITECTURA - EEGG",OGTH!$V:$V,"TP"))</f>
        <v>3</v>
      </c>
      <c r="K37" s="54">
        <f>+SUM(C37:J37)</f>
        <v>138</v>
      </c>
      <c r="L37" s="56">
        <f>+K37/K38</f>
        <v>0.82634730538922152</v>
      </c>
    </row>
    <row r="38" spans="2:12">
      <c r="B38" s="54" t="s">
        <v>1227</v>
      </c>
      <c r="C38" s="54">
        <f t="shared" ref="C38:L38" si="8">+C36+C37</f>
        <v>19</v>
      </c>
      <c r="D38" s="54">
        <f t="shared" si="8"/>
        <v>16</v>
      </c>
      <c r="E38" s="54">
        <f t="shared" si="8"/>
        <v>16</v>
      </c>
      <c r="F38" s="54">
        <f t="shared" si="8"/>
        <v>37</v>
      </c>
      <c r="G38" s="54">
        <f t="shared" si="8"/>
        <v>6</v>
      </c>
      <c r="H38" s="54">
        <f t="shared" si="8"/>
        <v>51</v>
      </c>
      <c r="I38" s="54">
        <f t="shared" si="8"/>
        <v>18</v>
      </c>
      <c r="J38" s="54">
        <f t="shared" si="8"/>
        <v>4</v>
      </c>
      <c r="K38" s="54">
        <f t="shared" si="8"/>
        <v>167</v>
      </c>
      <c r="L38" s="56">
        <f t="shared" si="8"/>
        <v>1</v>
      </c>
    </row>
    <row r="39" spans="2:12">
      <c r="B39" s="54" t="s">
        <v>1229</v>
      </c>
      <c r="C39" s="56">
        <f t="shared" ref="C39:J39" si="9">+C36/C38</f>
        <v>5.2631578947368418E-2</v>
      </c>
      <c r="D39" s="56">
        <f t="shared" si="9"/>
        <v>0.1875</v>
      </c>
      <c r="E39" s="56">
        <f t="shared" si="9"/>
        <v>0.25</v>
      </c>
      <c r="F39" s="56">
        <f t="shared" si="9"/>
        <v>0.21621621621621623</v>
      </c>
      <c r="G39" s="56">
        <f t="shared" si="9"/>
        <v>0</v>
      </c>
      <c r="H39" s="56">
        <f t="shared" si="9"/>
        <v>0.15686274509803921</v>
      </c>
      <c r="I39" s="56">
        <f t="shared" si="9"/>
        <v>0.22222222222222221</v>
      </c>
      <c r="J39" s="56">
        <f t="shared" si="9"/>
        <v>0.25</v>
      </c>
    </row>
    <row r="40" spans="2:12">
      <c r="B40" s="54" t="s">
        <v>1230</v>
      </c>
      <c r="C40" s="56">
        <f t="shared" ref="C40:J40" si="10">+C37/C38</f>
        <v>0.94736842105263153</v>
      </c>
      <c r="D40" s="56">
        <f t="shared" si="10"/>
        <v>0.8125</v>
      </c>
      <c r="E40" s="56">
        <f t="shared" si="10"/>
        <v>0.75</v>
      </c>
      <c r="F40" s="56">
        <f t="shared" si="10"/>
        <v>0.78378378378378377</v>
      </c>
      <c r="G40" s="56">
        <f t="shared" si="10"/>
        <v>1</v>
      </c>
      <c r="H40" s="56">
        <f t="shared" si="10"/>
        <v>0.84313725490196079</v>
      </c>
      <c r="I40" s="56">
        <f t="shared" si="10"/>
        <v>0.77777777777777779</v>
      </c>
      <c r="J40" s="56">
        <f t="shared" si="10"/>
        <v>0.75</v>
      </c>
    </row>
    <row r="41" spans="2:12">
      <c r="B41" s="54" t="s">
        <v>1228</v>
      </c>
      <c r="C41" s="57">
        <f t="shared" ref="C41:J41" si="11">+C39+C40</f>
        <v>1</v>
      </c>
      <c r="D41" s="57">
        <f t="shared" si="11"/>
        <v>1</v>
      </c>
      <c r="E41" s="57">
        <f t="shared" si="11"/>
        <v>1</v>
      </c>
      <c r="F41" s="57">
        <f t="shared" si="11"/>
        <v>1</v>
      </c>
      <c r="G41" s="57">
        <f t="shared" si="11"/>
        <v>1</v>
      </c>
      <c r="H41" s="57">
        <f t="shared" si="11"/>
        <v>1</v>
      </c>
      <c r="I41" s="57">
        <f t="shared" si="11"/>
        <v>1</v>
      </c>
      <c r="J41" s="57">
        <f t="shared" si="11"/>
        <v>1</v>
      </c>
    </row>
    <row r="44" spans="2:12">
      <c r="B44" s="53"/>
      <c r="C44" s="58" t="s">
        <v>1227</v>
      </c>
      <c r="D44" s="58" t="s">
        <v>1228</v>
      </c>
    </row>
    <row r="45" spans="2:12">
      <c r="B45" s="54" t="s">
        <v>845</v>
      </c>
      <c r="C45" s="54">
        <f>+E6+I16+J26</f>
        <v>29</v>
      </c>
      <c r="D45" s="56">
        <f>+C45/C47</f>
        <v>0.17365269461077845</v>
      </c>
    </row>
    <row r="46" spans="2:12">
      <c r="B46" s="54" t="s">
        <v>838</v>
      </c>
      <c r="C46" s="54">
        <f>+E7+I17+J27</f>
        <v>138</v>
      </c>
      <c r="D46" s="56">
        <f>+C46/C47</f>
        <v>0.82634730538922152</v>
      </c>
    </row>
    <row r="47" spans="2:12">
      <c r="B47" s="54" t="s">
        <v>1227</v>
      </c>
      <c r="C47" s="54">
        <f>+C45+C46</f>
        <v>167</v>
      </c>
      <c r="D47" s="56">
        <f>+D45+D46</f>
        <v>1</v>
      </c>
    </row>
  </sheetData>
  <conditionalFormatting sqref="C9:D9 C19:H19 C29:I29 C39:J39 D45">
    <cfRule type="cellIs" dxfId="9" priority="9" operator="greaterThan">
      <formula>0.2499999999</formula>
    </cfRule>
    <cfRule type="cellIs" dxfId="8" priority="10" operator="lessThan">
      <formula>0.25</formula>
    </cfRule>
  </conditionalFormatting>
  <conditionalFormatting sqref="F6">
    <cfRule type="cellIs" dxfId="7" priority="7" operator="greaterThan">
      <formula>0.2499999999</formula>
    </cfRule>
    <cfRule type="cellIs" dxfId="6" priority="8" operator="lessThan">
      <formula>0.25</formula>
    </cfRule>
  </conditionalFormatting>
  <conditionalFormatting sqref="J16">
    <cfRule type="cellIs" dxfId="5" priority="5" operator="greaterThan">
      <formula>0.2499999999</formula>
    </cfRule>
    <cfRule type="cellIs" dxfId="4" priority="6" operator="lessThan">
      <formula>0.25</formula>
    </cfRule>
  </conditionalFormatting>
  <conditionalFormatting sqref="K26">
    <cfRule type="cellIs" dxfId="3" priority="3" operator="greaterThan">
      <formula>0.2499999999</formula>
    </cfRule>
    <cfRule type="cellIs" dxfId="2" priority="4" operator="lessThan">
      <formula>0.25</formula>
    </cfRule>
  </conditionalFormatting>
  <conditionalFormatting sqref="L36">
    <cfRule type="cellIs" dxfId="1" priority="1" operator="greaterThan">
      <formula>0.2499999999</formula>
    </cfRule>
    <cfRule type="cellIs" dxfId="0" priority="2" operator="lessThan">
      <formula>0.25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08F4-9CF3-40A8-9883-5852735B4A5B}">
  <sheetPr>
    <tabColor theme="4" tint="0.59999389629810485"/>
    <pageSetUpPr fitToPage="1"/>
  </sheetPr>
  <dimension ref="B6:K58"/>
  <sheetViews>
    <sheetView topLeftCell="B1" zoomScale="55" zoomScaleNormal="55" workbookViewId="0">
      <selection activeCell="I13" sqref="I13"/>
    </sheetView>
  </sheetViews>
  <sheetFormatPr defaultColWidth="11.42578125" defaultRowHeight="15"/>
  <cols>
    <col min="1" max="1" width="5.28515625" customWidth="1"/>
    <col min="2" max="2" width="5.7109375" customWidth="1"/>
    <col min="3" max="3" width="13.5703125" customWidth="1"/>
    <col min="4" max="4" width="34.5703125" customWidth="1"/>
    <col min="5" max="5" width="25.5703125" customWidth="1"/>
    <col min="6" max="6" width="26.7109375" customWidth="1"/>
    <col min="7" max="8" width="16.28515625" customWidth="1"/>
    <col min="9" max="9" width="22.85546875" customWidth="1"/>
    <col min="10" max="10" width="46.28515625" customWidth="1"/>
    <col min="11" max="11" width="69.42578125" customWidth="1"/>
    <col min="12" max="12" width="31.28515625" customWidth="1"/>
  </cols>
  <sheetData>
    <row r="6" spans="2:11" ht="24">
      <c r="B6" s="115" t="s">
        <v>1233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2:11" ht="15.95" customHeight="1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ht="27" customHeight="1">
      <c r="I8" s="116" t="s">
        <v>1234</v>
      </c>
      <c r="J8" s="116"/>
      <c r="K8" s="116"/>
    </row>
    <row r="9" spans="2:11" s="8" customFormat="1" ht="32.65" customHeight="1">
      <c r="B9" s="7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1235</v>
      </c>
      <c r="J9" s="7" t="s">
        <v>1236</v>
      </c>
      <c r="K9" s="7" t="s">
        <v>1237</v>
      </c>
    </row>
    <row r="10" spans="2:11" s="1" customFormat="1" ht="33.75" customHeight="1">
      <c r="B10" s="4">
        <v>2</v>
      </c>
      <c r="C10" s="4"/>
      <c r="D10" s="4"/>
      <c r="E10" s="4"/>
      <c r="F10" s="4"/>
      <c r="G10" s="4"/>
      <c r="H10" s="4"/>
      <c r="I10" s="4"/>
      <c r="J10" s="4"/>
      <c r="K10" s="4"/>
    </row>
    <row r="11" spans="2:11" s="1" customFormat="1" ht="33.75" customHeight="1">
      <c r="B11" s="4">
        <v>3</v>
      </c>
      <c r="C11" s="4"/>
      <c r="D11" s="4"/>
      <c r="E11" s="4"/>
      <c r="F11" s="4"/>
      <c r="G11" s="4"/>
      <c r="H11" s="4"/>
      <c r="I11" s="4"/>
      <c r="J11" s="4"/>
      <c r="K11" s="4"/>
    </row>
    <row r="12" spans="2:11" s="1" customFormat="1" ht="33.75" customHeight="1">
      <c r="B12" s="4">
        <v>4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 s="1" customFormat="1" ht="33.75" customHeight="1">
      <c r="B13" s="4">
        <v>5</v>
      </c>
      <c r="C13" s="4"/>
      <c r="D13" s="4"/>
      <c r="E13" s="4"/>
      <c r="F13" s="4"/>
      <c r="G13" s="4"/>
      <c r="H13" s="4"/>
      <c r="I13" s="4"/>
      <c r="J13" s="4"/>
      <c r="K13" s="4"/>
    </row>
    <row r="14" spans="2:11" s="1" customFormat="1" ht="33.75" customHeight="1">
      <c r="B14" s="4">
        <v>6</v>
      </c>
      <c r="C14" s="4"/>
      <c r="D14" s="4"/>
      <c r="E14" s="4"/>
      <c r="F14" s="4"/>
      <c r="G14" s="4"/>
      <c r="H14" s="4"/>
      <c r="I14" s="4"/>
      <c r="J14" s="4"/>
      <c r="K14" s="4"/>
    </row>
    <row r="15" spans="2:11" s="1" customFormat="1" ht="33.75" customHeight="1">
      <c r="B15" s="4">
        <v>7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s="1" customFormat="1" ht="33.75" customHeight="1">
      <c r="B16" s="4">
        <v>8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 s="1" customFormat="1" ht="33.75" customHeight="1">
      <c r="B17" s="4">
        <v>9</v>
      </c>
      <c r="C17" s="4"/>
      <c r="D17" s="4"/>
      <c r="E17" s="4"/>
      <c r="F17" s="4"/>
      <c r="G17" s="4"/>
      <c r="H17" s="4"/>
      <c r="I17" s="4"/>
      <c r="J17" s="4"/>
      <c r="K17" s="4"/>
    </row>
    <row r="18" spans="2:11" s="1" customFormat="1" ht="33.75" customHeight="1">
      <c r="B18" s="4">
        <v>10</v>
      </c>
      <c r="C18" s="4"/>
      <c r="D18" s="4"/>
      <c r="E18" s="4"/>
      <c r="F18" s="4"/>
      <c r="G18" s="4"/>
      <c r="H18" s="4"/>
      <c r="I18" s="4"/>
      <c r="J18" s="4"/>
      <c r="K18" s="4"/>
    </row>
    <row r="19" spans="2:11" s="1" customFormat="1" ht="33.75" customHeight="1">
      <c r="B19" s="4">
        <v>11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s="1" customFormat="1" ht="33.75" customHeight="1">
      <c r="B20" s="4">
        <v>12</v>
      </c>
      <c r="C20" s="4"/>
      <c r="D20" s="4"/>
      <c r="E20" s="4"/>
      <c r="F20" s="4"/>
      <c r="G20" s="4"/>
      <c r="H20" s="4"/>
      <c r="I20" s="4"/>
      <c r="J20" s="4"/>
      <c r="K20" s="4"/>
    </row>
    <row r="21" spans="2:11" s="1" customFormat="1" ht="33.75" customHeight="1">
      <c r="B21" s="4">
        <v>13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s="1" customFormat="1" ht="33.75" customHeight="1">
      <c r="B22" s="4">
        <v>14</v>
      </c>
      <c r="C22" s="4"/>
      <c r="D22" s="4"/>
      <c r="E22" s="4"/>
      <c r="F22" s="4"/>
      <c r="G22" s="4"/>
      <c r="H22" s="4"/>
      <c r="I22" s="4"/>
      <c r="J22" s="4"/>
      <c r="K22" s="4"/>
    </row>
    <row r="23" spans="2:11" s="1" customFormat="1" ht="33.75" customHeight="1">
      <c r="B23" s="4">
        <v>15</v>
      </c>
      <c r="C23" s="4"/>
      <c r="D23" s="4"/>
      <c r="E23" s="4"/>
      <c r="F23" s="4"/>
      <c r="G23" s="4"/>
      <c r="H23" s="4"/>
      <c r="I23" s="4"/>
      <c r="J23" s="4"/>
      <c r="K23" s="4"/>
    </row>
    <row r="24" spans="2:11" s="1" customFormat="1" ht="33.75" customHeight="1">
      <c r="B24" s="4">
        <v>16</v>
      </c>
      <c r="C24" s="4"/>
      <c r="D24" s="4"/>
      <c r="E24" s="4"/>
      <c r="F24" s="4"/>
      <c r="G24" s="4"/>
      <c r="H24" s="4"/>
      <c r="I24" s="4"/>
      <c r="J24" s="4"/>
      <c r="K24" s="4"/>
    </row>
    <row r="25" spans="2:11" s="1" customFormat="1" ht="33.75" customHeight="1">
      <c r="B25" s="4">
        <v>17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 s="1" customFormat="1" ht="33.75" customHeight="1">
      <c r="B26" s="4">
        <v>18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s="1" customFormat="1" ht="33.75" customHeight="1">
      <c r="B27" s="4">
        <v>19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s="1" customFormat="1" ht="33.75" customHeight="1">
      <c r="B28" s="4">
        <v>20</v>
      </c>
      <c r="C28" s="4"/>
      <c r="D28" s="4"/>
      <c r="E28" s="4"/>
      <c r="F28" s="4"/>
      <c r="G28" s="4"/>
      <c r="H28" s="4"/>
      <c r="I28" s="4"/>
      <c r="J28" s="4"/>
      <c r="K28" s="4"/>
    </row>
    <row r="29" spans="2:11" s="1" customFormat="1" ht="33.75" customHeight="1">
      <c r="B29" s="4">
        <v>21</v>
      </c>
      <c r="C29" s="4"/>
      <c r="D29" s="4"/>
      <c r="E29" s="4"/>
      <c r="F29" s="4"/>
      <c r="G29" s="4"/>
      <c r="H29" s="4"/>
      <c r="I29" s="4"/>
      <c r="J29" s="4"/>
      <c r="K29" s="4"/>
    </row>
    <row r="30" spans="2:11" s="1" customFormat="1" ht="33.75" customHeight="1">
      <c r="B30" s="4">
        <v>22</v>
      </c>
      <c r="C30" s="4"/>
      <c r="D30" s="4"/>
      <c r="E30" s="4"/>
      <c r="F30" s="4"/>
      <c r="G30" s="4"/>
      <c r="H30" s="4"/>
      <c r="I30" s="4"/>
      <c r="J30" s="4"/>
      <c r="K30" s="4"/>
    </row>
    <row r="31" spans="2:11" s="1" customFormat="1" ht="33.75" customHeight="1">
      <c r="B31" s="4">
        <v>23</v>
      </c>
      <c r="C31" s="4"/>
      <c r="D31" s="4"/>
      <c r="E31" s="4"/>
      <c r="F31" s="4"/>
      <c r="G31" s="4"/>
      <c r="H31" s="4"/>
      <c r="I31" s="4"/>
      <c r="J31" s="4"/>
      <c r="K31" s="4"/>
    </row>
    <row r="32" spans="2:11" s="1" customFormat="1" ht="33.75" customHeight="1">
      <c r="B32" s="4">
        <v>24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 s="1" customFormat="1" ht="33.75" customHeight="1">
      <c r="B33" s="4">
        <v>25</v>
      </c>
      <c r="C33" s="4"/>
      <c r="D33" s="4"/>
      <c r="E33" s="4"/>
      <c r="F33" s="4"/>
      <c r="G33" s="4"/>
      <c r="H33" s="4"/>
      <c r="I33" s="4"/>
      <c r="J33" s="4"/>
      <c r="K33" s="4"/>
    </row>
    <row r="34" spans="2:11" s="1" customFormat="1" ht="33.75" customHeight="1">
      <c r="B34" s="4">
        <v>26</v>
      </c>
      <c r="C34" s="4"/>
      <c r="D34" s="4"/>
      <c r="E34" s="4"/>
      <c r="F34" s="4"/>
      <c r="G34" s="4"/>
      <c r="H34" s="4"/>
      <c r="I34" s="4"/>
      <c r="J34" s="4"/>
      <c r="K34" s="4"/>
    </row>
    <row r="35" spans="2:11" s="1" customFormat="1" ht="33.75" customHeight="1">
      <c r="B35" s="4">
        <v>27</v>
      </c>
      <c r="C35" s="4"/>
      <c r="D35" s="4"/>
      <c r="E35" s="4"/>
      <c r="F35" s="4"/>
      <c r="G35" s="4"/>
      <c r="H35" s="4"/>
      <c r="I35" s="4"/>
      <c r="J35" s="4"/>
      <c r="K35" s="4"/>
    </row>
    <row r="36" spans="2:11" s="1" customFormat="1" ht="33.75" customHeight="1">
      <c r="B36" s="4">
        <v>28</v>
      </c>
      <c r="C36" s="4"/>
      <c r="D36" s="4"/>
      <c r="E36" s="4"/>
      <c r="F36" s="4"/>
      <c r="G36" s="4"/>
      <c r="H36" s="4"/>
      <c r="I36" s="4"/>
      <c r="J36" s="4"/>
      <c r="K36" s="4"/>
    </row>
    <row r="37" spans="2:11" s="1" customFormat="1" ht="33.75" customHeight="1">
      <c r="B37" s="4">
        <v>29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 s="1" customFormat="1" ht="33.75" customHeight="1">
      <c r="B38" s="4">
        <v>30</v>
      </c>
      <c r="C38" s="4"/>
      <c r="D38" s="4"/>
      <c r="E38" s="4"/>
      <c r="F38" s="4"/>
      <c r="G38" s="4"/>
      <c r="H38" s="4"/>
      <c r="I38" s="4"/>
      <c r="J38" s="4"/>
      <c r="K38" s="4"/>
    </row>
    <row r="39" spans="2:11" s="1" customFormat="1" ht="33.75" customHeight="1">
      <c r="B39" s="4">
        <v>31</v>
      </c>
      <c r="C39" s="4"/>
      <c r="D39" s="4"/>
      <c r="E39" s="4"/>
      <c r="F39" s="4"/>
      <c r="G39" s="4"/>
      <c r="H39" s="4"/>
      <c r="I39" s="4"/>
      <c r="J39" s="4"/>
      <c r="K39" s="4"/>
    </row>
    <row r="40" spans="2:11" s="1" customFormat="1" ht="33.75" customHeight="1">
      <c r="B40" s="4">
        <v>32</v>
      </c>
      <c r="C40" s="4"/>
      <c r="D40" s="4"/>
      <c r="E40" s="4"/>
      <c r="F40" s="4"/>
      <c r="G40" s="4"/>
      <c r="H40" s="4"/>
      <c r="I40" s="4"/>
      <c r="J40" s="4"/>
      <c r="K40" s="4"/>
    </row>
    <row r="41" spans="2:11" s="1" customFormat="1" ht="33.75" customHeight="1">
      <c r="B41" s="4">
        <v>33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s="1" customFormat="1" ht="33.75" customHeight="1">
      <c r="B42" s="4">
        <v>34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 s="1" customFormat="1" ht="33.75" customHeight="1">
      <c r="B43" s="4">
        <v>35</v>
      </c>
      <c r="C43" s="4"/>
      <c r="D43" s="4"/>
      <c r="E43" s="4"/>
      <c r="F43" s="4"/>
      <c r="G43" s="4"/>
      <c r="H43" s="4"/>
      <c r="I43" s="4"/>
      <c r="J43" s="4"/>
      <c r="K43" s="4"/>
    </row>
    <row r="44" spans="2:11" s="1" customFormat="1" ht="33.75" customHeight="1">
      <c r="B44" s="4">
        <v>36</v>
      </c>
      <c r="C44" s="4"/>
      <c r="D44" s="4"/>
      <c r="E44" s="4"/>
      <c r="F44" s="4"/>
      <c r="G44" s="4"/>
      <c r="H44" s="4"/>
      <c r="I44" s="4"/>
      <c r="J44" s="4"/>
      <c r="K44" s="4"/>
    </row>
    <row r="45" spans="2:11" s="1" customFormat="1" ht="33.75" customHeight="1">
      <c r="B45" s="4">
        <v>37</v>
      </c>
      <c r="C45" s="4"/>
      <c r="D45" s="4"/>
      <c r="E45" s="4"/>
      <c r="F45" s="4"/>
      <c r="G45" s="4"/>
      <c r="H45" s="4"/>
      <c r="I45" s="4"/>
      <c r="J45" s="4"/>
      <c r="K45" s="4"/>
    </row>
    <row r="46" spans="2:11" s="1" customFormat="1" ht="33.75" customHeight="1">
      <c r="B46" s="4">
        <v>38</v>
      </c>
      <c r="C46" s="4"/>
      <c r="D46" s="4"/>
      <c r="E46" s="4"/>
      <c r="F46" s="4"/>
      <c r="G46" s="4"/>
      <c r="H46" s="4"/>
      <c r="I46" s="4"/>
      <c r="J46" s="4"/>
      <c r="K46" s="4"/>
    </row>
    <row r="47" spans="2:11" s="1" customFormat="1" ht="33.75" customHeight="1">
      <c r="B47" s="4">
        <v>39</v>
      </c>
      <c r="C47" s="4"/>
      <c r="D47" s="4"/>
      <c r="E47" s="4"/>
      <c r="F47" s="4"/>
      <c r="G47" s="4"/>
      <c r="H47" s="4"/>
      <c r="I47" s="4"/>
      <c r="J47" s="4"/>
      <c r="K47" s="4"/>
    </row>
    <row r="48" spans="2:11" s="1" customFormat="1" ht="33.75" customHeight="1">
      <c r="B48" s="4">
        <v>40</v>
      </c>
      <c r="C48" s="4"/>
      <c r="D48" s="4"/>
      <c r="E48" s="4"/>
      <c r="F48" s="4"/>
      <c r="G48" s="4"/>
      <c r="H48" s="4"/>
      <c r="I48" s="4"/>
      <c r="J48" s="4"/>
      <c r="K48" s="4"/>
    </row>
    <row r="49" spans="2:11" s="1" customFormat="1" ht="33.75" customHeight="1">
      <c r="B49" s="4">
        <v>41</v>
      </c>
      <c r="C49" s="4"/>
      <c r="D49" s="4"/>
      <c r="E49" s="4"/>
      <c r="F49" s="4"/>
      <c r="G49" s="4"/>
      <c r="H49" s="4"/>
      <c r="I49" s="4"/>
      <c r="J49" s="4"/>
      <c r="K49" s="4"/>
    </row>
    <row r="50" spans="2:11" s="1" customFormat="1" ht="33.75" customHeight="1">
      <c r="B50" s="4">
        <v>42</v>
      </c>
      <c r="C50" s="4"/>
      <c r="D50" s="4"/>
      <c r="E50" s="4"/>
      <c r="F50" s="4"/>
      <c r="G50" s="4"/>
      <c r="H50" s="4"/>
      <c r="I50" s="4"/>
      <c r="J50" s="4"/>
      <c r="K50" s="4"/>
    </row>
    <row r="51" spans="2:11" s="1" customFormat="1" ht="33.75" customHeight="1">
      <c r="B51" s="4">
        <v>43</v>
      </c>
      <c r="C51" s="4"/>
      <c r="D51" s="4"/>
      <c r="E51" s="4"/>
      <c r="F51" s="4"/>
      <c r="G51" s="4"/>
      <c r="H51" s="4"/>
      <c r="I51" s="4"/>
      <c r="J51" s="4"/>
      <c r="K51" s="4"/>
    </row>
    <row r="52" spans="2:11" s="1" customFormat="1" ht="33.75" customHeight="1">
      <c r="B52" s="4">
        <v>44</v>
      </c>
      <c r="C52" s="4"/>
      <c r="D52" s="4"/>
      <c r="E52" s="4"/>
      <c r="F52" s="4"/>
      <c r="G52" s="4"/>
      <c r="H52" s="4"/>
      <c r="I52" s="4"/>
      <c r="J52" s="4"/>
      <c r="K52" s="4"/>
    </row>
    <row r="53" spans="2:11" s="1" customFormat="1" ht="33.75" customHeight="1">
      <c r="B53" s="4">
        <v>45</v>
      </c>
      <c r="C53" s="4"/>
      <c r="D53" s="4"/>
      <c r="E53" s="4"/>
      <c r="F53" s="4"/>
      <c r="G53" s="4"/>
      <c r="H53" s="4"/>
      <c r="I53" s="4"/>
      <c r="J53" s="4"/>
      <c r="K53" s="4"/>
    </row>
    <row r="54" spans="2:11" s="1" customFormat="1" ht="33.75" customHeight="1">
      <c r="B54" s="4">
        <v>46</v>
      </c>
      <c r="C54" s="4"/>
      <c r="D54" s="4"/>
      <c r="E54" s="4"/>
      <c r="F54" s="4"/>
      <c r="G54" s="4"/>
      <c r="H54" s="4"/>
      <c r="I54" s="4"/>
      <c r="J54" s="4"/>
      <c r="K54" s="4"/>
    </row>
    <row r="55" spans="2:11" s="1" customFormat="1" ht="33.75" customHeight="1">
      <c r="B55" s="4">
        <v>47</v>
      </c>
      <c r="C55" s="4"/>
      <c r="D55" s="4"/>
      <c r="E55" s="4"/>
      <c r="F55" s="4"/>
      <c r="G55" s="4"/>
      <c r="H55" s="4"/>
      <c r="I55" s="4"/>
      <c r="J55" s="4"/>
      <c r="K55" s="4"/>
    </row>
    <row r="56" spans="2:11" s="1" customFormat="1" ht="33.75" customHeight="1">
      <c r="B56" s="4">
        <v>48</v>
      </c>
      <c r="C56" s="4"/>
      <c r="D56" s="4"/>
      <c r="E56" s="4"/>
      <c r="F56" s="4"/>
      <c r="G56" s="4"/>
      <c r="H56" s="4"/>
      <c r="I56" s="4"/>
      <c r="J56" s="4"/>
      <c r="K56" s="4"/>
    </row>
    <row r="57" spans="2:11" s="1" customFormat="1" ht="33.75" customHeight="1">
      <c r="B57" s="4">
        <v>49</v>
      </c>
      <c r="C57" s="4"/>
      <c r="D57" s="4"/>
      <c r="E57" s="4"/>
      <c r="F57" s="4"/>
      <c r="G57" s="4"/>
      <c r="H57" s="4"/>
      <c r="I57" s="4"/>
      <c r="J57" s="4"/>
      <c r="K57" s="4"/>
    </row>
    <row r="58" spans="2:11" s="1" customFormat="1" ht="33.75" customHeight="1">
      <c r="B58" s="4">
        <v>50</v>
      </c>
      <c r="C58" s="4"/>
      <c r="D58" s="4"/>
      <c r="E58" s="4"/>
      <c r="F58" s="4"/>
      <c r="G58" s="4"/>
      <c r="H58" s="4"/>
      <c r="I58" s="4"/>
      <c r="J58" s="4"/>
      <c r="K58" s="4"/>
    </row>
  </sheetData>
  <mergeCells count="2">
    <mergeCell ref="B6:K6"/>
    <mergeCell ref="I8:K8"/>
  </mergeCells>
  <pageMargins left="7.874015748031496E-2" right="0.15748031496062992" top="0.39370078740157483" bottom="0.43307086614173229" header="0.31496062992125984" footer="0.31496062992125984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2026-03-10T19:06:41Z</dcterms:created>
  <dcterms:modified xsi:type="dcterms:W3CDTF">2026-03-27T16:30:15Z</dcterms:modified>
  <cp:category/>
  <cp:contentStatus/>
</cp:coreProperties>
</file>