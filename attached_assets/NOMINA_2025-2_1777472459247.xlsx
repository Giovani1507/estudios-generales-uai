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GIOVANI_CESPEDES\Downloads\"/>
    </mc:Choice>
  </mc:AlternateContent>
  <xr:revisionPtr revIDLastSave="0" documentId="13_ncr:1_{C269ED1B-BB4B-43C0-A153-0C36828FD59D}" xr6:coauthVersionLast="47" xr6:coauthVersionMax="47" xr10:uidLastSave="{00000000-0000-0000-0000-000000000000}"/>
  <bookViews>
    <workbookView xWindow="-120" yWindow="-120" windowWidth="20730" windowHeight="11160" xr2:uid="{0B01226B-7CE1-4F2D-BFBB-F5A527BDE9B3}"/>
  </bookViews>
  <sheets>
    <sheet name="PRIMER CICLO" sheetId="2" r:id="rId1"/>
    <sheet name="SEGUNDO CICLO" sheetId="3" r:id="rId2"/>
    <sheet name="HOJA RESUMEN " sheetId="6" r:id="rId3"/>
  </sheets>
  <definedNames>
    <definedName name="_xlnm._FilterDatabase" localSheetId="0" hidden="1">'PRIMER CICLO'!$B$4:$K$289</definedName>
    <definedName name="_xlnm._FilterDatabase" localSheetId="1" hidden="1">'SEGUNDO CICLO'!$B$4:$K$511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20" i="2" l="1"/>
  <c r="K180" i="2"/>
  <c r="K187" i="2"/>
  <c r="C76" i="6"/>
  <c r="C77" i="6"/>
  <c r="F65" i="6"/>
  <c r="F66" i="6"/>
  <c r="F67" i="6"/>
  <c r="F68" i="6"/>
  <c r="F69" i="6"/>
  <c r="F70" i="6"/>
  <c r="F71" i="6"/>
  <c r="F72" i="6"/>
  <c r="F73" i="6"/>
  <c r="F64" i="6"/>
  <c r="F57" i="6"/>
  <c r="F58" i="6"/>
  <c r="F59" i="6"/>
  <c r="F56" i="6"/>
  <c r="F41" i="6"/>
  <c r="F42" i="6"/>
  <c r="F43" i="6"/>
  <c r="F44" i="6"/>
  <c r="F45" i="6"/>
  <c r="F46" i="6"/>
  <c r="F47" i="6"/>
  <c r="F48" i="6"/>
  <c r="F49" i="6"/>
  <c r="F50" i="6"/>
  <c r="F51" i="6"/>
  <c r="F52" i="6"/>
  <c r="F40" i="6"/>
  <c r="F32" i="6"/>
  <c r="F31" i="6"/>
  <c r="F28" i="6"/>
  <c r="F29" i="6"/>
  <c r="F30" i="6"/>
  <c r="F33" i="6"/>
  <c r="F27" i="6"/>
  <c r="F23" i="6"/>
  <c r="I4" i="6"/>
  <c r="J4" i="6"/>
  <c r="F5" i="6"/>
  <c r="F6" i="6"/>
  <c r="F7" i="6"/>
  <c r="F4" i="6"/>
  <c r="D8" i="6"/>
  <c r="F8" i="6"/>
  <c r="F12" i="6"/>
  <c r="I65" i="6"/>
  <c r="I66" i="6"/>
  <c r="I67" i="6"/>
  <c r="I68" i="6"/>
  <c r="I69" i="6"/>
  <c r="I70" i="6"/>
  <c r="I71" i="6"/>
  <c r="I72" i="6"/>
  <c r="I73" i="6"/>
  <c r="I64" i="6"/>
  <c r="I57" i="6"/>
  <c r="I58" i="6"/>
  <c r="I59" i="6"/>
  <c r="I56" i="6"/>
  <c r="I41" i="6"/>
  <c r="I42" i="6"/>
  <c r="I43" i="6"/>
  <c r="I44" i="6"/>
  <c r="I45" i="6"/>
  <c r="I46" i="6"/>
  <c r="I47" i="6"/>
  <c r="I48" i="6"/>
  <c r="I49" i="6"/>
  <c r="I50" i="6"/>
  <c r="I51" i="6"/>
  <c r="I52" i="6"/>
  <c r="I40" i="6"/>
  <c r="I28" i="6"/>
  <c r="I29" i="6"/>
  <c r="I30" i="6"/>
  <c r="I31" i="6"/>
  <c r="I32" i="6"/>
  <c r="I33" i="6"/>
  <c r="I27" i="6"/>
  <c r="I13" i="6"/>
  <c r="I14" i="6"/>
  <c r="I15" i="6"/>
  <c r="I16" i="6"/>
  <c r="I17" i="6"/>
  <c r="I18" i="6"/>
  <c r="I19" i="6"/>
  <c r="I20" i="6"/>
  <c r="I21" i="6"/>
  <c r="I22" i="6"/>
  <c r="I23" i="6"/>
  <c r="I12" i="6"/>
  <c r="I5" i="6"/>
  <c r="I6" i="6"/>
  <c r="I7" i="6"/>
  <c r="H4" i="6"/>
  <c r="E24" i="6"/>
  <c r="E35" i="6"/>
  <c r="D35" i="6"/>
  <c r="E74" i="6"/>
  <c r="E53" i="6"/>
  <c r="H45" i="6"/>
  <c r="H42" i="6"/>
  <c r="F13" i="6"/>
  <c r="H12" i="6"/>
  <c r="J12" i="6" s="1"/>
  <c r="K12" i="6" s="1"/>
  <c r="H13" i="6"/>
  <c r="F14" i="6"/>
  <c r="F15" i="6"/>
  <c r="F16" i="6"/>
  <c r="F17" i="6"/>
  <c r="F18" i="6"/>
  <c r="F19" i="6"/>
  <c r="F20" i="6"/>
  <c r="F21" i="6"/>
  <c r="F22" i="6"/>
  <c r="H6" i="6"/>
  <c r="J6" i="6" s="1"/>
  <c r="K6" i="6" s="1"/>
  <c r="H5" i="6"/>
  <c r="J5" i="6" s="1"/>
  <c r="H17" i="6"/>
  <c r="L110" i="3"/>
  <c r="H57" i="6"/>
  <c r="H58" i="6"/>
  <c r="J58" i="6" s="1"/>
  <c r="K58" i="6" s="1"/>
  <c r="H59" i="6"/>
  <c r="H65" i="6"/>
  <c r="H66" i="6"/>
  <c r="H67" i="6"/>
  <c r="K67" i="6" s="1"/>
  <c r="H68" i="6"/>
  <c r="K68" i="6" s="1"/>
  <c r="H69" i="6"/>
  <c r="H70" i="6"/>
  <c r="H71" i="6"/>
  <c r="H72" i="6"/>
  <c r="H73" i="6"/>
  <c r="K73" i="6" s="1"/>
  <c r="J65" i="6"/>
  <c r="J66" i="6"/>
  <c r="K66" i="6" s="1"/>
  <c r="J69" i="6"/>
  <c r="J70" i="6"/>
  <c r="J71" i="6"/>
  <c r="J72" i="6"/>
  <c r="H64" i="6"/>
  <c r="K64" i="6" s="1"/>
  <c r="H56" i="6"/>
  <c r="H50" i="6"/>
  <c r="H41" i="6"/>
  <c r="H43" i="6"/>
  <c r="H44" i="6"/>
  <c r="H46" i="6"/>
  <c r="H47" i="6"/>
  <c r="H48" i="6"/>
  <c r="H49" i="6"/>
  <c r="J49" i="6" s="1"/>
  <c r="K49" i="6" s="1"/>
  <c r="H51" i="6"/>
  <c r="H52" i="6"/>
  <c r="H40" i="6"/>
  <c r="J40" i="6"/>
  <c r="H28" i="6"/>
  <c r="H29" i="6"/>
  <c r="J29" i="6" s="1"/>
  <c r="K29" i="6" s="1"/>
  <c r="H30" i="6"/>
  <c r="H31" i="6"/>
  <c r="H32" i="6"/>
  <c r="H33" i="6"/>
  <c r="H34" i="6"/>
  <c r="H27" i="6"/>
  <c r="J27" i="6" s="1"/>
  <c r="H14" i="6"/>
  <c r="H15" i="6"/>
  <c r="H16" i="6"/>
  <c r="H18" i="6"/>
  <c r="H19" i="6"/>
  <c r="H20" i="6"/>
  <c r="H21" i="6"/>
  <c r="H22" i="6"/>
  <c r="H23" i="6"/>
  <c r="H7" i="6"/>
  <c r="K5" i="6"/>
  <c r="D24" i="6"/>
  <c r="C24" i="6"/>
  <c r="C35" i="6"/>
  <c r="F35" i="6"/>
  <c r="D53" i="6"/>
  <c r="C53" i="6"/>
  <c r="C60" i="6"/>
  <c r="D60" i="6"/>
  <c r="F60" i="6"/>
  <c r="F74" i="6"/>
  <c r="D74" i="6"/>
  <c r="C74" i="6"/>
  <c r="C78" i="6" s="1"/>
  <c r="K436" i="3"/>
  <c r="K269" i="3"/>
  <c r="K283" i="3"/>
  <c r="K276" i="3"/>
  <c r="K89" i="3"/>
  <c r="I215" i="2"/>
  <c r="K160" i="2"/>
  <c r="K144" i="2"/>
  <c r="K91" i="3"/>
  <c r="K92" i="3"/>
  <c r="K93" i="3"/>
  <c r="K94" i="3"/>
  <c r="K95" i="3"/>
  <c r="K90" i="3"/>
  <c r="K84" i="3"/>
  <c r="K85" i="3"/>
  <c r="K86" i="3"/>
  <c r="K87" i="3"/>
  <c r="K88" i="3"/>
  <c r="K83" i="3"/>
  <c r="K69" i="2"/>
  <c r="K70" i="2"/>
  <c r="K71" i="2"/>
  <c r="K72" i="2"/>
  <c r="K73" i="2"/>
  <c r="K74" i="2"/>
  <c r="K133" i="2"/>
  <c r="K134" i="2"/>
  <c r="K135" i="2"/>
  <c r="K136" i="2"/>
  <c r="K137" i="2"/>
  <c r="K132" i="2"/>
  <c r="K129" i="3"/>
  <c r="K126" i="3"/>
  <c r="K127" i="3"/>
  <c r="K128" i="3"/>
  <c r="K130" i="3"/>
  <c r="K119" i="3"/>
  <c r="K120" i="3"/>
  <c r="K121" i="3"/>
  <c r="K122" i="3"/>
  <c r="K123" i="3"/>
  <c r="K112" i="3"/>
  <c r="K113" i="3"/>
  <c r="K114" i="3"/>
  <c r="K115" i="3"/>
  <c r="K116" i="3"/>
  <c r="K125" i="3"/>
  <c r="K118" i="3"/>
  <c r="K109" i="2"/>
  <c r="K108" i="2"/>
  <c r="K107" i="2"/>
  <c r="K284" i="2"/>
  <c r="K285" i="2"/>
  <c r="K286" i="2"/>
  <c r="K287" i="2"/>
  <c r="K288" i="2"/>
  <c r="K283" i="2"/>
  <c r="K203" i="2"/>
  <c r="K204" i="2"/>
  <c r="K205" i="2"/>
  <c r="K206" i="2"/>
  <c r="K207" i="2"/>
  <c r="K202" i="2"/>
  <c r="K196" i="2"/>
  <c r="K197" i="2"/>
  <c r="K198" i="2"/>
  <c r="K199" i="2"/>
  <c r="K200" i="2"/>
  <c r="K195" i="2"/>
  <c r="K240" i="2"/>
  <c r="K241" i="2"/>
  <c r="K242" i="2"/>
  <c r="K243" i="2"/>
  <c r="K244" i="2"/>
  <c r="K239" i="2"/>
  <c r="K292" i="3"/>
  <c r="K293" i="3"/>
  <c r="K294" i="3"/>
  <c r="K295" i="3"/>
  <c r="K296" i="3"/>
  <c r="K291" i="3"/>
  <c r="K310" i="3"/>
  <c r="K306" i="3"/>
  <c r="K307" i="3"/>
  <c r="K308" i="3"/>
  <c r="K309" i="3"/>
  <c r="K305" i="3"/>
  <c r="K300" i="3"/>
  <c r="K302" i="3"/>
  <c r="K299" i="3"/>
  <c r="K301" i="3"/>
  <c r="K303" i="3"/>
  <c r="K298" i="3"/>
  <c r="K18" i="3"/>
  <c r="K15" i="3"/>
  <c r="K14" i="3"/>
  <c r="K16" i="3"/>
  <c r="K17" i="3"/>
  <c r="K13" i="3"/>
  <c r="K217" i="2"/>
  <c r="K216" i="2"/>
  <c r="K218" i="2"/>
  <c r="K219" i="2"/>
  <c r="K220" i="2"/>
  <c r="K221" i="2"/>
  <c r="K334" i="3"/>
  <c r="K335" i="3"/>
  <c r="K336" i="3"/>
  <c r="K337" i="3"/>
  <c r="K338" i="3"/>
  <c r="K333" i="3"/>
  <c r="K250" i="2"/>
  <c r="K247" i="2"/>
  <c r="K248" i="2"/>
  <c r="K249" i="2"/>
  <c r="K251" i="2"/>
  <c r="K246" i="2"/>
  <c r="K404" i="3"/>
  <c r="K158" i="2"/>
  <c r="K98" i="2"/>
  <c r="K99" i="2"/>
  <c r="K100" i="2"/>
  <c r="K101" i="2"/>
  <c r="K102" i="2"/>
  <c r="K97" i="2"/>
  <c r="K6" i="2"/>
  <c r="K243" i="3"/>
  <c r="K244" i="3"/>
  <c r="K245" i="3"/>
  <c r="K246" i="3"/>
  <c r="K247" i="3"/>
  <c r="K242" i="3"/>
  <c r="K139" i="3"/>
  <c r="K140" i="3"/>
  <c r="K141" i="3"/>
  <c r="K142" i="3"/>
  <c r="K143" i="3"/>
  <c r="K144" i="3"/>
  <c r="K145" i="3"/>
  <c r="K146" i="3"/>
  <c r="K147" i="3"/>
  <c r="K148" i="3"/>
  <c r="K149" i="3"/>
  <c r="K150" i="3"/>
  <c r="K151" i="3"/>
  <c r="K152" i="3"/>
  <c r="K153" i="3"/>
  <c r="K154" i="3"/>
  <c r="K155" i="3"/>
  <c r="K156" i="3"/>
  <c r="K157" i="3"/>
  <c r="K158" i="3"/>
  <c r="K159" i="3"/>
  <c r="K160" i="3"/>
  <c r="K161" i="3"/>
  <c r="K162" i="3"/>
  <c r="K163" i="3"/>
  <c r="K164" i="3"/>
  <c r="K165" i="3"/>
  <c r="K166" i="3"/>
  <c r="K167" i="3"/>
  <c r="K168" i="3"/>
  <c r="K169" i="3"/>
  <c r="K170" i="3"/>
  <c r="K171" i="3"/>
  <c r="K172" i="3"/>
  <c r="K173" i="3"/>
  <c r="K174" i="3"/>
  <c r="K175" i="3"/>
  <c r="K176" i="3"/>
  <c r="K177" i="3"/>
  <c r="K178" i="3"/>
  <c r="K179" i="3"/>
  <c r="K180" i="3"/>
  <c r="K181" i="3"/>
  <c r="K182" i="3"/>
  <c r="K183" i="3"/>
  <c r="K184" i="3"/>
  <c r="K185" i="3"/>
  <c r="K186" i="3"/>
  <c r="K187" i="3"/>
  <c r="K188" i="3"/>
  <c r="K189" i="3"/>
  <c r="K190" i="3"/>
  <c r="K191" i="3"/>
  <c r="K192" i="3"/>
  <c r="K193" i="3"/>
  <c r="K194" i="3"/>
  <c r="K195" i="3"/>
  <c r="K196" i="3"/>
  <c r="K197" i="3"/>
  <c r="K198" i="3"/>
  <c r="K199" i="3"/>
  <c r="K200" i="3"/>
  <c r="K201" i="3"/>
  <c r="K202" i="3"/>
  <c r="K203" i="3"/>
  <c r="K204" i="3"/>
  <c r="K205" i="3"/>
  <c r="K206" i="3"/>
  <c r="K207" i="3"/>
  <c r="K208" i="3"/>
  <c r="K209" i="3"/>
  <c r="K210" i="3"/>
  <c r="K211" i="3"/>
  <c r="K212" i="3"/>
  <c r="K213" i="3"/>
  <c r="K214" i="3"/>
  <c r="K215" i="3"/>
  <c r="K216" i="3"/>
  <c r="K217" i="3"/>
  <c r="K218" i="3"/>
  <c r="K219" i="3"/>
  <c r="K220" i="3"/>
  <c r="K221" i="3"/>
  <c r="K222" i="3"/>
  <c r="K223" i="3"/>
  <c r="K224" i="3"/>
  <c r="K225" i="3"/>
  <c r="K226" i="3"/>
  <c r="K227" i="3"/>
  <c r="K228" i="3"/>
  <c r="K229" i="3"/>
  <c r="K230" i="3"/>
  <c r="K231" i="3"/>
  <c r="K232" i="3"/>
  <c r="K233" i="3"/>
  <c r="K234" i="3"/>
  <c r="K235" i="3"/>
  <c r="K236" i="3"/>
  <c r="K237" i="3"/>
  <c r="K238" i="3"/>
  <c r="K239" i="3"/>
  <c r="K240" i="3"/>
  <c r="K241" i="3"/>
  <c r="K248" i="3"/>
  <c r="K249" i="3"/>
  <c r="K250" i="3"/>
  <c r="K251" i="3"/>
  <c r="K252" i="3"/>
  <c r="K253" i="3"/>
  <c r="K254" i="3"/>
  <c r="K255" i="3"/>
  <c r="K256" i="3"/>
  <c r="K257" i="3"/>
  <c r="K258" i="3"/>
  <c r="K259" i="3"/>
  <c r="K260" i="3"/>
  <c r="K261" i="3"/>
  <c r="K262" i="3"/>
  <c r="K263" i="3"/>
  <c r="K264" i="3"/>
  <c r="K265" i="3"/>
  <c r="K266" i="3"/>
  <c r="K267" i="3"/>
  <c r="K268" i="3"/>
  <c r="K270" i="3"/>
  <c r="K271" i="3"/>
  <c r="K272" i="3"/>
  <c r="K273" i="3"/>
  <c r="K274" i="3"/>
  <c r="K275" i="3"/>
  <c r="K277" i="3"/>
  <c r="K278" i="3"/>
  <c r="K279" i="3"/>
  <c r="K280" i="3"/>
  <c r="K281" i="3"/>
  <c r="K282" i="3"/>
  <c r="K284" i="3"/>
  <c r="K285" i="3"/>
  <c r="K286" i="3"/>
  <c r="K287" i="3"/>
  <c r="K288" i="3"/>
  <c r="K289" i="3"/>
  <c r="K290" i="3"/>
  <c r="K297" i="3"/>
  <c r="K304" i="3"/>
  <c r="K311" i="3"/>
  <c r="K312" i="3"/>
  <c r="K313" i="3"/>
  <c r="K314" i="3"/>
  <c r="K315" i="3"/>
  <c r="K316" i="3"/>
  <c r="K317" i="3"/>
  <c r="K318" i="3"/>
  <c r="K319" i="3"/>
  <c r="K320" i="3"/>
  <c r="K321" i="3"/>
  <c r="K322" i="3"/>
  <c r="K323" i="3"/>
  <c r="K324" i="3"/>
  <c r="K325" i="3"/>
  <c r="K326" i="3"/>
  <c r="K327" i="3"/>
  <c r="K328" i="3"/>
  <c r="K329" i="3"/>
  <c r="K330" i="3"/>
  <c r="K331" i="3"/>
  <c r="K332" i="3"/>
  <c r="K339" i="3"/>
  <c r="K340" i="3"/>
  <c r="K341" i="3"/>
  <c r="K342" i="3"/>
  <c r="K343" i="3"/>
  <c r="K344" i="3"/>
  <c r="K345" i="3"/>
  <c r="K346" i="3"/>
  <c r="K347" i="3"/>
  <c r="K348" i="3"/>
  <c r="K349" i="3"/>
  <c r="K350" i="3"/>
  <c r="K351" i="3"/>
  <c r="K352" i="3"/>
  <c r="K353" i="3"/>
  <c r="K354" i="3"/>
  <c r="K355" i="3"/>
  <c r="K356" i="3"/>
  <c r="K357" i="3"/>
  <c r="K358" i="3"/>
  <c r="K359" i="3"/>
  <c r="K360" i="3"/>
  <c r="K361" i="3"/>
  <c r="K362" i="3"/>
  <c r="K363" i="3"/>
  <c r="K364" i="3"/>
  <c r="K365" i="3"/>
  <c r="K366" i="3"/>
  <c r="K367" i="3"/>
  <c r="K368" i="3"/>
  <c r="K369" i="3"/>
  <c r="K370" i="3"/>
  <c r="K371" i="3"/>
  <c r="K372" i="3"/>
  <c r="K373" i="3"/>
  <c r="K374" i="3"/>
  <c r="K375" i="3"/>
  <c r="K376" i="3"/>
  <c r="K377" i="3"/>
  <c r="K378" i="3"/>
  <c r="K379" i="3"/>
  <c r="K380" i="3"/>
  <c r="K381" i="3"/>
  <c r="K382" i="3"/>
  <c r="K383" i="3"/>
  <c r="K384" i="3"/>
  <c r="K385" i="3"/>
  <c r="K386" i="3"/>
  <c r="K387" i="3"/>
  <c r="K388" i="3"/>
  <c r="K389" i="3"/>
  <c r="K390" i="3"/>
  <c r="K391" i="3"/>
  <c r="K392" i="3"/>
  <c r="K393" i="3"/>
  <c r="K394" i="3"/>
  <c r="K395" i="3"/>
  <c r="K396" i="3"/>
  <c r="K397" i="3"/>
  <c r="K398" i="3"/>
  <c r="K399" i="3"/>
  <c r="K400" i="3"/>
  <c r="K401" i="3"/>
  <c r="K402" i="3"/>
  <c r="K403" i="3"/>
  <c r="K405" i="3"/>
  <c r="K406" i="3"/>
  <c r="K407" i="3"/>
  <c r="K408" i="3"/>
  <c r="K409" i="3"/>
  <c r="K410" i="3"/>
  <c r="K411" i="3"/>
  <c r="K412" i="3"/>
  <c r="K413" i="3"/>
  <c r="K414" i="3"/>
  <c r="K415" i="3"/>
  <c r="K416" i="3"/>
  <c r="K417" i="3"/>
  <c r="K418" i="3"/>
  <c r="K419" i="3"/>
  <c r="K420" i="3"/>
  <c r="K421" i="3"/>
  <c r="K422" i="3"/>
  <c r="K423" i="3"/>
  <c r="K424" i="3"/>
  <c r="K425" i="3"/>
  <c r="K426" i="3"/>
  <c r="K427" i="3"/>
  <c r="K428" i="3"/>
  <c r="K429" i="3"/>
  <c r="K430" i="3"/>
  <c r="K431" i="3"/>
  <c r="K432" i="3"/>
  <c r="K433" i="3"/>
  <c r="K434" i="3"/>
  <c r="K435" i="3"/>
  <c r="K439" i="3"/>
  <c r="K440" i="3"/>
  <c r="K441" i="3"/>
  <c r="K442" i="3"/>
  <c r="K443" i="3"/>
  <c r="K444" i="3"/>
  <c r="K445" i="3"/>
  <c r="K446" i="3"/>
  <c r="K447" i="3"/>
  <c r="K448" i="3"/>
  <c r="K449" i="3"/>
  <c r="K450" i="3"/>
  <c r="K451" i="3"/>
  <c r="K452" i="3"/>
  <c r="K453" i="3"/>
  <c r="K454" i="3"/>
  <c r="K455" i="3"/>
  <c r="K456" i="3"/>
  <c r="K457" i="3"/>
  <c r="K458" i="3"/>
  <c r="K459" i="3"/>
  <c r="K460" i="3"/>
  <c r="K461" i="3"/>
  <c r="K462" i="3"/>
  <c r="K463" i="3"/>
  <c r="K464" i="3"/>
  <c r="K465" i="3"/>
  <c r="K466" i="3"/>
  <c r="K467" i="3"/>
  <c r="K468" i="3"/>
  <c r="K469" i="3"/>
  <c r="K470" i="3"/>
  <c r="K471" i="3"/>
  <c r="K472" i="3"/>
  <c r="K473" i="3"/>
  <c r="K474" i="3"/>
  <c r="K475" i="3"/>
  <c r="K476" i="3"/>
  <c r="K477" i="3"/>
  <c r="K478" i="3"/>
  <c r="K479" i="3"/>
  <c r="K480" i="3"/>
  <c r="K481" i="3"/>
  <c r="K482" i="3"/>
  <c r="K483" i="3"/>
  <c r="K484" i="3"/>
  <c r="K485" i="3"/>
  <c r="K486" i="3"/>
  <c r="K487" i="3"/>
  <c r="K488" i="3"/>
  <c r="K489" i="3"/>
  <c r="K490" i="3"/>
  <c r="K491" i="3"/>
  <c r="K492" i="3"/>
  <c r="K493" i="3"/>
  <c r="K494" i="3"/>
  <c r="K495" i="3"/>
  <c r="K496" i="3"/>
  <c r="K497" i="3"/>
  <c r="K498" i="3"/>
  <c r="K499" i="3"/>
  <c r="K500" i="3"/>
  <c r="K501" i="3"/>
  <c r="K502" i="3"/>
  <c r="K503" i="3"/>
  <c r="K504" i="3"/>
  <c r="K505" i="3"/>
  <c r="K506" i="3"/>
  <c r="K133" i="3"/>
  <c r="K134" i="3"/>
  <c r="K135" i="3"/>
  <c r="K136" i="3"/>
  <c r="K137" i="3"/>
  <c r="K132" i="3"/>
  <c r="K96" i="3"/>
  <c r="K97" i="3"/>
  <c r="K98" i="3"/>
  <c r="K99" i="3"/>
  <c r="K100" i="3"/>
  <c r="K101" i="3"/>
  <c r="K102" i="3"/>
  <c r="K104" i="3"/>
  <c r="K105" i="3"/>
  <c r="K106" i="3"/>
  <c r="K107" i="3"/>
  <c r="K108" i="3"/>
  <c r="K109" i="3"/>
  <c r="K69" i="3"/>
  <c r="K70" i="3"/>
  <c r="K71" i="3"/>
  <c r="K72" i="3"/>
  <c r="K73" i="3"/>
  <c r="K74" i="3"/>
  <c r="K76" i="3"/>
  <c r="K77" i="3"/>
  <c r="K78" i="3"/>
  <c r="K79" i="3"/>
  <c r="K80" i="3"/>
  <c r="K81" i="3"/>
  <c r="K63" i="3"/>
  <c r="K64" i="3"/>
  <c r="K65" i="3"/>
  <c r="K66" i="3"/>
  <c r="K67" i="3"/>
  <c r="K62" i="3"/>
  <c r="K49" i="3"/>
  <c r="K50" i="3"/>
  <c r="K51" i="3"/>
  <c r="K52" i="3"/>
  <c r="K53" i="3"/>
  <c r="K48" i="3"/>
  <c r="K42" i="3"/>
  <c r="K43" i="3"/>
  <c r="K44" i="3"/>
  <c r="K45" i="3"/>
  <c r="K46" i="3"/>
  <c r="K41" i="3"/>
  <c r="K7" i="3"/>
  <c r="K8" i="3"/>
  <c r="K9" i="3"/>
  <c r="K10" i="3"/>
  <c r="K11" i="3"/>
  <c r="K6" i="3"/>
  <c r="K27" i="3"/>
  <c r="K28" i="3"/>
  <c r="K29" i="3"/>
  <c r="K30" i="3"/>
  <c r="K31" i="3"/>
  <c r="K32" i="3"/>
  <c r="K20" i="3"/>
  <c r="K21" i="3"/>
  <c r="K22" i="3"/>
  <c r="K23" i="3"/>
  <c r="K24" i="3"/>
  <c r="K25" i="3"/>
  <c r="K56" i="3"/>
  <c r="K57" i="3"/>
  <c r="K58" i="3"/>
  <c r="K59" i="3"/>
  <c r="K60" i="3"/>
  <c r="K55" i="3"/>
  <c r="K35" i="3"/>
  <c r="K36" i="3"/>
  <c r="K37" i="3"/>
  <c r="K38" i="3"/>
  <c r="K39" i="3"/>
  <c r="K34" i="3"/>
  <c r="K63" i="2"/>
  <c r="K64" i="2"/>
  <c r="K65" i="2"/>
  <c r="K66" i="2"/>
  <c r="K67" i="2"/>
  <c r="K62" i="2"/>
  <c r="K77" i="2"/>
  <c r="K78" i="2"/>
  <c r="K79" i="2"/>
  <c r="K80" i="2"/>
  <c r="K81" i="2"/>
  <c r="K76" i="2"/>
  <c r="K91" i="2"/>
  <c r="K92" i="2"/>
  <c r="K93" i="2"/>
  <c r="K94" i="2"/>
  <c r="K95" i="2"/>
  <c r="K90" i="2"/>
  <c r="K84" i="2"/>
  <c r="K85" i="2"/>
  <c r="K86" i="2"/>
  <c r="K87" i="2"/>
  <c r="K88" i="2"/>
  <c r="K83" i="2"/>
  <c r="K130" i="2"/>
  <c r="K105" i="2"/>
  <c r="K106" i="2"/>
  <c r="K111" i="2"/>
  <c r="K112" i="2"/>
  <c r="K113" i="2"/>
  <c r="K114" i="2"/>
  <c r="K115" i="2"/>
  <c r="K116" i="2"/>
  <c r="K118" i="2"/>
  <c r="K119" i="2"/>
  <c r="K120" i="2"/>
  <c r="K121" i="2"/>
  <c r="K122" i="2"/>
  <c r="K123" i="2"/>
  <c r="K125" i="2"/>
  <c r="K126" i="2"/>
  <c r="K127" i="2"/>
  <c r="K128" i="2"/>
  <c r="K129" i="2"/>
  <c r="K139" i="2"/>
  <c r="K140" i="2"/>
  <c r="K141" i="2"/>
  <c r="K142" i="2"/>
  <c r="K143" i="2"/>
  <c r="K146" i="2"/>
  <c r="K147" i="2"/>
  <c r="K148" i="2"/>
  <c r="K149" i="2"/>
  <c r="K150" i="2"/>
  <c r="K151" i="2"/>
  <c r="K153" i="2"/>
  <c r="K154" i="2"/>
  <c r="K155" i="2"/>
  <c r="K156" i="2"/>
  <c r="K157" i="2"/>
  <c r="K161" i="2"/>
  <c r="K162" i="2"/>
  <c r="K163" i="2"/>
  <c r="K164" i="2"/>
  <c r="K165" i="2"/>
  <c r="K167" i="2"/>
  <c r="K168" i="2"/>
  <c r="K169" i="2"/>
  <c r="K170" i="2"/>
  <c r="K171" i="2"/>
  <c r="K172" i="2"/>
  <c r="K174" i="2"/>
  <c r="K175" i="2"/>
  <c r="K176" i="2"/>
  <c r="K177" i="2"/>
  <c r="K178" i="2"/>
  <c r="K179" i="2"/>
  <c r="K181" i="2"/>
  <c r="K182" i="2"/>
  <c r="K183" i="2"/>
  <c r="K184" i="2"/>
  <c r="K185" i="2"/>
  <c r="K186" i="2"/>
  <c r="K188" i="2"/>
  <c r="K189" i="2"/>
  <c r="K190" i="2"/>
  <c r="K191" i="2"/>
  <c r="K192" i="2"/>
  <c r="K193" i="2"/>
  <c r="K209" i="2"/>
  <c r="K210" i="2"/>
  <c r="K211" i="2"/>
  <c r="K212" i="2"/>
  <c r="K213" i="2"/>
  <c r="K214" i="2"/>
  <c r="K223" i="2"/>
  <c r="K224" i="2"/>
  <c r="K225" i="2"/>
  <c r="K226" i="2"/>
  <c r="K227" i="2"/>
  <c r="K228" i="2"/>
  <c r="K230" i="2"/>
  <c r="K232" i="2"/>
  <c r="K233" i="2"/>
  <c r="K234" i="2"/>
  <c r="K235" i="2"/>
  <c r="K236" i="2"/>
  <c r="K237" i="2"/>
  <c r="K253" i="2"/>
  <c r="K254" i="2"/>
  <c r="K255" i="2"/>
  <c r="K256" i="2"/>
  <c r="K257" i="2"/>
  <c r="K258" i="2"/>
  <c r="K260" i="2"/>
  <c r="K261" i="2"/>
  <c r="K262" i="2"/>
  <c r="K263" i="2"/>
  <c r="K264" i="2"/>
  <c r="K265" i="2"/>
  <c r="K266" i="2"/>
  <c r="K267" i="2"/>
  <c r="K268" i="2"/>
  <c r="K269" i="2"/>
  <c r="K270" i="2"/>
  <c r="K271" i="2"/>
  <c r="K272" i="2"/>
  <c r="K273" i="2"/>
  <c r="K274" i="2"/>
  <c r="K275" i="2"/>
  <c r="K276" i="2"/>
  <c r="K277" i="2"/>
  <c r="K278" i="2"/>
  <c r="K279" i="2"/>
  <c r="K280" i="2"/>
  <c r="K281" i="2"/>
  <c r="K282" i="2"/>
  <c r="K104" i="2"/>
  <c r="K56" i="2"/>
  <c r="K57" i="2"/>
  <c r="K58" i="2"/>
  <c r="K59" i="2"/>
  <c r="K60" i="2"/>
  <c r="K55" i="2"/>
  <c r="K49" i="2"/>
  <c r="K50" i="2"/>
  <c r="K51" i="2"/>
  <c r="K52" i="2"/>
  <c r="K53" i="2"/>
  <c r="K48" i="2"/>
  <c r="K7" i="2"/>
  <c r="K8" i="2"/>
  <c r="K9" i="2"/>
  <c r="K10" i="2"/>
  <c r="K11" i="2"/>
  <c r="K42" i="2"/>
  <c r="K43" i="2"/>
  <c r="K44" i="2"/>
  <c r="K45" i="2"/>
  <c r="K46" i="2"/>
  <c r="K35" i="2"/>
  <c r="K36" i="2"/>
  <c r="K37" i="2"/>
  <c r="K38" i="2"/>
  <c r="K39" i="2"/>
  <c r="K34" i="2"/>
  <c r="K28" i="2"/>
  <c r="K29" i="2"/>
  <c r="K30" i="2"/>
  <c r="K31" i="2"/>
  <c r="K32" i="2"/>
  <c r="K27" i="2"/>
  <c r="K13" i="2"/>
  <c r="K21" i="2"/>
  <c r="K22" i="2"/>
  <c r="K23" i="2"/>
  <c r="K24" i="2"/>
  <c r="K25" i="2"/>
  <c r="K14" i="2"/>
  <c r="K15" i="2"/>
  <c r="K16" i="2"/>
  <c r="K17" i="2"/>
  <c r="K18" i="2"/>
  <c r="L423" i="3" l="1"/>
  <c r="L138" i="3"/>
  <c r="F53" i="6"/>
  <c r="F24" i="6"/>
  <c r="J45" i="6"/>
  <c r="K45" i="6" s="1"/>
  <c r="J7" i="6"/>
  <c r="K7" i="6" s="1"/>
  <c r="C8" i="6"/>
  <c r="J23" i="6"/>
  <c r="K23" i="6" s="1"/>
  <c r="J22" i="6"/>
  <c r="K22" i="6" s="1"/>
  <c r="J21" i="6"/>
  <c r="K21" i="6" s="1"/>
  <c r="J20" i="6"/>
  <c r="K20" i="6" s="1"/>
  <c r="J19" i="6"/>
  <c r="K19" i="6" s="1"/>
  <c r="J18" i="6"/>
  <c r="K18" i="6" s="1"/>
  <c r="J17" i="6"/>
  <c r="K17" i="6" s="1"/>
  <c r="J16" i="6"/>
  <c r="K16" i="6" s="1"/>
  <c r="J15" i="6"/>
  <c r="K15" i="6" s="1"/>
  <c r="J14" i="6"/>
  <c r="K14" i="6" s="1"/>
  <c r="J13" i="6"/>
  <c r="K13" i="6" s="1"/>
  <c r="K27" i="6"/>
  <c r="J34" i="6"/>
  <c r="K34" i="6" s="1"/>
  <c r="J33" i="6"/>
  <c r="K33" i="6" s="1"/>
  <c r="J32" i="6"/>
  <c r="K32" i="6" s="1"/>
  <c r="J31" i="6"/>
  <c r="K31" i="6" s="1"/>
  <c r="J30" i="6"/>
  <c r="K30" i="6" s="1"/>
  <c r="J28" i="6"/>
  <c r="K28" i="6" s="1"/>
  <c r="K40" i="6"/>
  <c r="J52" i="6"/>
  <c r="K52" i="6" s="1"/>
  <c r="J51" i="6"/>
  <c r="K51" i="6" s="1"/>
  <c r="J47" i="6"/>
  <c r="K47" i="6" s="1"/>
  <c r="J46" i="6"/>
  <c r="K46" i="6" s="1"/>
  <c r="J44" i="6"/>
  <c r="K44" i="6" s="1"/>
  <c r="J43" i="6"/>
  <c r="K43" i="6" s="1"/>
  <c r="J42" i="6"/>
  <c r="K42" i="6" s="1"/>
  <c r="J41" i="6"/>
  <c r="K41" i="6" s="1"/>
  <c r="J56" i="6"/>
  <c r="K56" i="6" s="1"/>
  <c r="K72" i="6"/>
  <c r="K71" i="6"/>
  <c r="K70" i="6"/>
  <c r="K69" i="6"/>
  <c r="K65" i="6"/>
  <c r="J59" i="6"/>
  <c r="K59" i="6" s="1"/>
  <c r="J57" i="6"/>
  <c r="K57" i="6" s="1"/>
  <c r="K50" i="6"/>
  <c r="J48" i="6"/>
  <c r="K4" i="6" l="1"/>
  <c r="K48" i="6"/>
</calcChain>
</file>

<file path=xl/sharedStrings.xml><?xml version="1.0" encoding="utf-8"?>
<sst xmlns="http://schemas.openxmlformats.org/spreadsheetml/2006/main" count="2038" uniqueCount="194">
  <si>
    <t>ALUMNOS MATRICULADOS EEGG 2025-2</t>
  </si>
  <si>
    <t>HUACHO</t>
  </si>
  <si>
    <t>CICLO</t>
  </si>
  <si>
    <t>CARRERA</t>
  </si>
  <si>
    <t>MODALIDAD</t>
  </si>
  <si>
    <t>LOCAL</t>
  </si>
  <si>
    <t>SECCIÓN</t>
  </si>
  <si>
    <t>TURNO</t>
  </si>
  <si>
    <t xml:space="preserve">ESTUDIANTES MATRICULADOS </t>
  </si>
  <si>
    <t>RETIRADOS POR OCTDA</t>
  </si>
  <si>
    <t>RETIRADOS POR INASISTENCIA</t>
  </si>
  <si>
    <t>TOTAL ACTIVOS</t>
  </si>
  <si>
    <t>FILIAL</t>
  </si>
  <si>
    <t>ADMINISTRACIÓN DE EMPRESAS</t>
  </si>
  <si>
    <t>PRESENCIAL</t>
  </si>
  <si>
    <t>A</t>
  </si>
  <si>
    <t>DIURNO</t>
  </si>
  <si>
    <t>SEDE</t>
  </si>
  <si>
    <t>MATEMÁTICA</t>
  </si>
  <si>
    <t>AP - HU</t>
  </si>
  <si>
    <t>REDACCIÓN Y COMUNICACIÓN</t>
  </si>
  <si>
    <t>MÉTODOS DE ESTUDIO UNIVERSITARIO</t>
  </si>
  <si>
    <t>FILOSOFÍA Y ÉTICA</t>
  </si>
  <si>
    <t>CULTURA AMBIENTAL</t>
  </si>
  <si>
    <t>INTRODUCCION A LA ADMINISTRACIÓN</t>
  </si>
  <si>
    <t>NOCTURNO</t>
  </si>
  <si>
    <t>SUNAMPE</t>
  </si>
  <si>
    <t>AP - CH</t>
  </si>
  <si>
    <t>ADMINISTRACIÓN DE EMPRESAS - VIRTUAL</t>
  </si>
  <si>
    <t>VIRTUAL</t>
  </si>
  <si>
    <t>BV</t>
  </si>
  <si>
    <t>BV - CH</t>
  </si>
  <si>
    <t>ARQUITECTURA</t>
  </si>
  <si>
    <t>MATEMÁTICAS APLICADAS</t>
  </si>
  <si>
    <t>GEOMETRÍA DESCRIPTIVA</t>
  </si>
  <si>
    <t>INTRODUCCIÓN A LA ARQUITECTURA</t>
  </si>
  <si>
    <t>CONTABILIDAD - VIRTUAL</t>
  </si>
  <si>
    <t>AV - IC</t>
  </si>
  <si>
    <t>CONTABILIDAD GENERAL</t>
  </si>
  <si>
    <t>DERECHO</t>
  </si>
  <si>
    <t>MATEMÁTICA I</t>
  </si>
  <si>
    <t>AP - IC</t>
  </si>
  <si>
    <t>INTRODUCCIÓN AL DERECHO</t>
  </si>
  <si>
    <t>B</t>
  </si>
  <si>
    <t>BP - IC</t>
  </si>
  <si>
    <t>BP - HU</t>
  </si>
  <si>
    <t>BP - CH</t>
  </si>
  <si>
    <t>DERECHO - VIRTUAL</t>
  </si>
  <si>
    <t>C</t>
  </si>
  <si>
    <t>CV - CH</t>
  </si>
  <si>
    <t>D</t>
  </si>
  <si>
    <t>DV - CH</t>
  </si>
  <si>
    <t>E</t>
  </si>
  <si>
    <t>EV - CH</t>
  </si>
  <si>
    <t>ENFERMERÍA</t>
  </si>
  <si>
    <t>INTRODUCCIÓN A LA ENFERMERÍA</t>
  </si>
  <si>
    <t>BIOLOGIA</t>
  </si>
  <si>
    <t>CP - HU</t>
  </si>
  <si>
    <t>INGENIERÍA CIVIL</t>
  </si>
  <si>
    <t>MATEMÁTICAS PARA INGENIEROS</t>
  </si>
  <si>
    <t>INTRODUCCIÓN A LAS INGENIERÍAS</t>
  </si>
  <si>
    <t>DIBUJO DE INGENIERÍA I</t>
  </si>
  <si>
    <t>INGENIERÍA DE SISTEMAS</t>
  </si>
  <si>
    <t>DIBUJO DE INGENIERÍA</t>
  </si>
  <si>
    <t>INGENIERÍA INDUSTRIAL</t>
  </si>
  <si>
    <t>MATEMÁTICAS</t>
  </si>
  <si>
    <t>BHP - CH</t>
  </si>
  <si>
    <t>BHV</t>
  </si>
  <si>
    <t>BHV - CH</t>
  </si>
  <si>
    <t>MEDICINA HUMANA</t>
  </si>
  <si>
    <t>INTRODUCCIÓN A LA MEDICINA</t>
  </si>
  <si>
    <t>BIOLOGÍA</t>
  </si>
  <si>
    <t>AP - SU</t>
  </si>
  <si>
    <t>OBSTETRICIA</t>
  </si>
  <si>
    <t>INTRODUCCIÓN A LA OBSTETRICIA</t>
  </si>
  <si>
    <t>PSICOLOGÍA</t>
  </si>
  <si>
    <t>INTRODUCCIÓN A LA PSICOLOGÍA</t>
  </si>
  <si>
    <t>TECNOLOGÍA MÉDICA - ESPECIALIDAD EN LABORATORIO CLINICO Y ANATOMÍA PATOLÓGICA</t>
  </si>
  <si>
    <t>TECNOLOGÍA MÉDICA - ESPECIALIDAD EN TERAPIA FÍSICA Y REHABILITACIÓN</t>
  </si>
  <si>
    <t>INTRODUCCIÓN A LA TECNOLOGÍA MÉDICA</t>
  </si>
  <si>
    <t>BIOLOGIA GENERAL</t>
  </si>
  <si>
    <t>TECNOLOGÍA MÉDICA - OPTOMETRÍA</t>
  </si>
  <si>
    <t>Matemática</t>
  </si>
  <si>
    <t>Redacción y Comunicación</t>
  </si>
  <si>
    <t>AV - CH</t>
  </si>
  <si>
    <t>Filosofía y Ética</t>
  </si>
  <si>
    <t>Métodos de estudio universitario</t>
  </si>
  <si>
    <t>Introducción a la Tecnología Médica</t>
  </si>
  <si>
    <t>Biologia General</t>
  </si>
  <si>
    <t>TOTAL</t>
  </si>
  <si>
    <t>ESTUDIANTES MATRICULADOS</t>
  </si>
  <si>
    <t>RETIRADO POR OCTDA</t>
  </si>
  <si>
    <t>RETIRADO POR INASISTENCIA</t>
  </si>
  <si>
    <t>TOTAL DE ACTIVOS</t>
  </si>
  <si>
    <t>REDACCIÓN ACADÉMICA</t>
  </si>
  <si>
    <t>METODOLOGÍA DE LA INVESTIGACIÓN</t>
  </si>
  <si>
    <t>REALIDAD NACIONAL Y GLOBALIZACION</t>
  </si>
  <si>
    <t>CULTURA INCLUSIVA</t>
  </si>
  <si>
    <t>ECONOMÍA</t>
  </si>
  <si>
    <t>MATEMÁTICA FINANCIERA</t>
  </si>
  <si>
    <t>CV-CH</t>
  </si>
  <si>
    <t>REALIDAD NACIONAL Y GLOBALIZACIÓN</t>
  </si>
  <si>
    <t>ADMINISTRACIÓN Y EMPRENDIMIENTO</t>
  </si>
  <si>
    <t>CÁLCULO</t>
  </si>
  <si>
    <t>FÍSICA I</t>
  </si>
  <si>
    <t>DIBUJO ARQUITECTÓNICO I</t>
  </si>
  <si>
    <t xml:space="preserve">AV </t>
  </si>
  <si>
    <t>MATEMÁTICA II</t>
  </si>
  <si>
    <t>CONTABILIDAD FINANCIERA</t>
  </si>
  <si>
    <t>EXPRESIÓN ORAL Y LIDERAZGO</t>
  </si>
  <si>
    <t>C P - H U</t>
  </si>
  <si>
    <t>A P - H U</t>
  </si>
  <si>
    <t>A P - C H</t>
  </si>
  <si>
    <t>B P - C H</t>
  </si>
  <si>
    <t>A P - IC</t>
  </si>
  <si>
    <t>C U L T U R A IN C L U SIV A</t>
  </si>
  <si>
    <t>A N A T O MIA Y FISIO L O GIA</t>
  </si>
  <si>
    <t>B P - IC</t>
  </si>
  <si>
    <t>C P - IC</t>
  </si>
  <si>
    <t>D P - IC</t>
  </si>
  <si>
    <t>B P - H U</t>
  </si>
  <si>
    <t>D P - H U</t>
  </si>
  <si>
    <t>E P - H U</t>
  </si>
  <si>
    <t>C P - C H</t>
  </si>
  <si>
    <t>M A T E M Á TIC A II</t>
  </si>
  <si>
    <t>D P - C H</t>
  </si>
  <si>
    <t>M E T O D O L O G Í A D E L A IN V E S TIG A CIÓ N</t>
  </si>
  <si>
    <t>R E A LID A D N A CIO N A L Y G L O B A LIZ A CIO N</t>
  </si>
  <si>
    <t>A D MINIS T R A CIÓ N Y E M P R E N DIMIE N T O</t>
  </si>
  <si>
    <t>E P - C H</t>
  </si>
  <si>
    <t>F-G-H</t>
  </si>
  <si>
    <t>F V - C H</t>
  </si>
  <si>
    <t>G V - C H</t>
  </si>
  <si>
    <t>H V - C H</t>
  </si>
  <si>
    <t>CÁLCULO I</t>
  </si>
  <si>
    <t>FÍSICA</t>
  </si>
  <si>
    <t>DIBUJO DE INGENIERÍA II</t>
  </si>
  <si>
    <t>AP2 - CH</t>
  </si>
  <si>
    <t>ADMINISTRACIÓN GENERAL</t>
  </si>
  <si>
    <t>C Á L C U L O I</t>
  </si>
  <si>
    <t>DIB U J O D E IN G E NIE R Í A</t>
  </si>
  <si>
    <t>CP - CH</t>
  </si>
  <si>
    <t>DHP</t>
  </si>
  <si>
    <t>DHP - CH</t>
  </si>
  <si>
    <t>DHV</t>
  </si>
  <si>
    <t>D H V - C H</t>
  </si>
  <si>
    <t>C U L T U R A  A M BIE N T A L</t>
  </si>
  <si>
    <t>A N A T O M Í A</t>
  </si>
  <si>
    <t>CP - IC</t>
  </si>
  <si>
    <t>DP - IC</t>
  </si>
  <si>
    <t>BP - SU</t>
  </si>
  <si>
    <t>A N A T O M Í A Y FISIO L O G Í A</t>
  </si>
  <si>
    <t>DP - CH</t>
  </si>
  <si>
    <t>R E A LID A D N A CIO N A L Y G L O B A LIZ A CIÓ N</t>
  </si>
  <si>
    <t>DP - HU</t>
  </si>
  <si>
    <t>TECNOLOGÍA MÉDICA - ESPECIALIDAD 
EN TERAPIA FÍSICA Y REHABILITACIÓN</t>
  </si>
  <si>
    <t>ANATOMIA HUMANA</t>
  </si>
  <si>
    <t>TECNOLOGÍA MÉDICA -
 ESPECIALIDAD EN TERAPIA FÍSICA
 Y REHABILITACIÓN</t>
  </si>
  <si>
    <t>TECNOLOGÍA MÉDICA - ESPECIALIDAD 
EN LABORATORIO CLINICO Y ANATOMÍA PATOLÓGICA</t>
  </si>
  <si>
    <t>ANATOMÍA HUMANA</t>
  </si>
  <si>
    <t>TECNOLOGÍA MÉDICA - ESPECIALIDAD EN TERAPIA DE LENGUAJE</t>
  </si>
  <si>
    <t>Cultura Ambiental</t>
  </si>
  <si>
    <t>Metodología de la investigación</t>
  </si>
  <si>
    <t>Realidad nacional y Globalización</t>
  </si>
  <si>
    <t>Administración y emprendimiento</t>
  </si>
  <si>
    <t>Cultura inclusiva</t>
  </si>
  <si>
    <t>Anatomía Humana</t>
  </si>
  <si>
    <t>HUAURA</t>
  </si>
  <si>
    <t>RESULTADOS DE %</t>
  </si>
  <si>
    <t>Carrera</t>
  </si>
  <si>
    <t>Matriculados</t>
  </si>
  <si>
    <r>
      <rPr>
        <b/>
        <sz val="12"/>
        <color rgb="FF000000"/>
        <rFont val="Calibri"/>
        <scheme val="minor"/>
      </rPr>
      <t xml:space="preserve">RETIRADOS
 </t>
    </r>
    <r>
      <rPr>
        <b/>
        <sz val="9"/>
        <color rgb="FF000000"/>
        <rFont val="Calibri"/>
        <scheme val="minor"/>
      </rPr>
      <t>(POR INASISTENCIA)</t>
    </r>
  </si>
  <si>
    <t>POR OCTDA</t>
  </si>
  <si>
    <t>Activos</t>
  </si>
  <si>
    <t>% MATRICULADOS</t>
  </si>
  <si>
    <t>% NO ASISTENTES</t>
  </si>
  <si>
    <t>% OCTDA</t>
  </si>
  <si>
    <t>% ACTIVOS</t>
  </si>
  <si>
    <t>%</t>
  </si>
  <si>
    <t xml:space="preserve">ADMINISTRACIÓN DE EMPRESAS </t>
  </si>
  <si>
    <t>ENFERMERIA</t>
  </si>
  <si>
    <t>PSICOLOGIA</t>
  </si>
  <si>
    <t>SEDE  - SUNAMPE</t>
  </si>
  <si>
    <t>No asisten</t>
  </si>
  <si>
    <t xml:space="preserve">ARQUITECTURA </t>
  </si>
  <si>
    <t>INGENIERIA CIVIL</t>
  </si>
  <si>
    <t>INGENIERIA DE SISTEMAS</t>
  </si>
  <si>
    <t>INGENIERIA INDUSTRIAL</t>
  </si>
  <si>
    <t xml:space="preserve">MEDICINA HUMANA </t>
  </si>
  <si>
    <t>OBSERVACIÓN</t>
  </si>
  <si>
    <t>CONTABILIDAD</t>
  </si>
  <si>
    <t>AULA CERRADA</t>
  </si>
  <si>
    <t>PRIMERO</t>
  </si>
  <si>
    <t>SEGUNDO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</si>
</sst>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7" x14ac:knownFonts="1">
    <font>
      <sz val="11"/>
      <color theme="1"/>
      <name val="Calibri"/>
      <family val="2"/>
      <scheme val="minor"/>
    </font>
    <font>
      <sz val="11"/>
      <color theme="1"/>
      <name val="Calibri"/>
      <scheme val="minor"/>
    </font>
    <font>
      <sz val="9"/>
      <color theme="1"/>
      <name val="Calibri"/>
      <family val="2"/>
      <scheme val="minor"/>
    </font>
    <font>
      <b/>
      <sz val="11"/>
      <color theme="0"/>
      <name val="Calibri Light"/>
      <family val="1"/>
      <scheme val="major"/>
    </font>
    <font>
      <b/>
      <sz val="9"/>
      <color theme="1"/>
      <name val="Calibri"/>
      <family val="2"/>
      <scheme val="minor"/>
    </font>
    <font>
      <b/>
      <sz val="11"/>
      <name val="Calibri"/>
      <family val="2"/>
    </font>
    <font>
      <b/>
      <sz val="14"/>
      <color theme="0"/>
      <name val="Calibri Light"/>
      <family val="1"/>
      <scheme val="major"/>
    </font>
    <font>
      <b/>
      <sz val="10"/>
      <color theme="1"/>
      <name val="Calibri"/>
      <family val="2"/>
      <scheme val="minor"/>
    </font>
    <font>
      <b/>
      <i/>
      <sz val="9"/>
      <color theme="1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b/>
      <i/>
      <sz val="16"/>
      <color theme="0"/>
      <name val="Calibri Light"/>
      <family val="2"/>
      <scheme val="major"/>
    </font>
    <font>
      <b/>
      <i/>
      <sz val="9"/>
      <name val="Calibri"/>
      <family val="2"/>
      <scheme val="minor"/>
    </font>
    <font>
      <b/>
      <i/>
      <sz val="8"/>
      <color theme="1"/>
      <name val="Calibri"/>
      <family val="2"/>
      <scheme val="minor"/>
    </font>
    <font>
      <sz val="9"/>
      <color theme="1"/>
      <name val="Aptos Display"/>
      <family val="2"/>
    </font>
    <font>
      <b/>
      <sz val="11"/>
      <color theme="1"/>
      <name val="Aptos Display"/>
      <family val="2"/>
    </font>
    <font>
      <b/>
      <sz val="10"/>
      <color theme="1"/>
      <name val="Aptos Display"/>
      <family val="2"/>
    </font>
    <font>
      <sz val="8"/>
      <color theme="1"/>
      <name val="Aptos Display"/>
      <family val="2"/>
    </font>
    <font>
      <sz val="8"/>
      <name val="Aptos Display"/>
      <family val="2"/>
    </font>
    <font>
      <b/>
      <sz val="10"/>
      <name val="Aptos Display"/>
      <family val="2"/>
    </font>
    <font>
      <b/>
      <u/>
      <sz val="9"/>
      <color theme="1"/>
      <name val="Aptos Display"/>
      <family val="2"/>
    </font>
    <font>
      <b/>
      <u/>
      <sz val="10"/>
      <color theme="1"/>
      <name val="Aptos Display"/>
      <family val="2"/>
    </font>
    <font>
      <b/>
      <i/>
      <sz val="8"/>
      <name val="Calibri"/>
      <family val="2"/>
      <scheme val="minor"/>
    </font>
    <font>
      <b/>
      <sz val="8"/>
      <color theme="1"/>
      <name val="Calibri"/>
      <family val="2"/>
      <scheme val="minor"/>
    </font>
    <font>
      <sz val="11"/>
      <color rgb="FF242424"/>
      <name val="Aptos Narrow"/>
      <charset val="1"/>
    </font>
    <font>
      <u/>
      <sz val="11"/>
      <color theme="10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FF0000"/>
      <name val="Calibri"/>
      <scheme val="minor"/>
    </font>
    <font>
      <sz val="11"/>
      <color rgb="FFFF0000"/>
      <name val="Aptos Narrow"/>
      <charset val="1"/>
    </font>
    <font>
      <b/>
      <sz val="12"/>
      <color theme="1"/>
      <name val="Calibri"/>
      <family val="2"/>
      <scheme val="minor"/>
    </font>
    <font>
      <sz val="9"/>
      <color theme="1"/>
      <name val="Calibri"/>
      <scheme val="minor"/>
    </font>
    <font>
      <b/>
      <sz val="26"/>
      <color theme="1"/>
      <name val="Calibri"/>
      <family val="2"/>
      <scheme val="minor"/>
    </font>
    <font>
      <b/>
      <sz val="24"/>
      <color theme="1"/>
      <name val="Calibri"/>
      <family val="2"/>
      <scheme val="minor"/>
    </font>
    <font>
      <sz val="11"/>
      <color rgb="FF000000"/>
      <name val="Calibri"/>
      <scheme val="minor"/>
    </font>
    <font>
      <b/>
      <sz val="14"/>
      <color theme="1"/>
      <name val="Calibri"/>
      <family val="2"/>
      <scheme val="minor"/>
    </font>
    <font>
      <b/>
      <sz val="12"/>
      <color rgb="FF000000"/>
      <name val="Calibri"/>
      <scheme val="minor"/>
    </font>
    <font>
      <b/>
      <sz val="9"/>
      <color rgb="FF000000"/>
      <name val="Calibri"/>
      <scheme val="minor"/>
    </font>
    <font>
      <b/>
      <sz val="16"/>
      <color theme="1"/>
      <name val="Calibri"/>
      <family val="2"/>
      <scheme val="minor"/>
    </font>
  </fonts>
  <fills count="27">
    <fill>
      <patternFill patternType="none"/>
    </fill>
    <fill>
      <patternFill patternType="gray125"/>
    </fill>
    <fill>
      <patternFill patternType="solid">
        <fgColor theme="8" tint="-0.249977111117893"/>
        <bgColor indexed="64"/>
      </patternFill>
    </fill>
    <fill>
      <patternFill patternType="solid">
        <fgColor theme="4" tint="-0.49998474074526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9" tint="0.39997558519241921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3" tint="0.79998168889431442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9" tint="-0.249977111117893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8" tint="0.3999755851924192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 tint="0.39997558519241921"/>
        <bgColor indexed="64"/>
      </patternFill>
    </fill>
  </fills>
  <borders count="34">
    <border>
      <left/>
      <right/>
      <top/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2">
    <xf numFmtId="0" fontId="0" fillId="0" borderId="0"/>
    <xf numFmtId="0" fontId="24" fillId="0" borderId="0" applyNumberFormat="0" applyFill="0" applyBorder="0" applyAlignment="0" applyProtection="0"/>
  </cellStyleXfs>
  <cellXfs count="372">
    <xf numFmtId="0" fontId="0" fillId="0" borderId="0" xfId="0"/>
    <xf numFmtId="0" fontId="0" fillId="0" borderId="1" xfId="0" applyBorder="1"/>
    <xf numFmtId="0" fontId="0" fillId="9" borderId="4" xfId="0" applyFill="1" applyBorder="1"/>
    <xf numFmtId="0" fontId="0" fillId="0" borderId="8" xfId="0" applyBorder="1"/>
    <xf numFmtId="0" fontId="0" fillId="6" borderId="9" xfId="0" applyFill="1" applyBorder="1"/>
    <xf numFmtId="0" fontId="0" fillId="4" borderId="0" xfId="0" applyFill="1"/>
    <xf numFmtId="0" fontId="5" fillId="12" borderId="5" xfId="0" applyFont="1" applyFill="1" applyBorder="1" applyAlignment="1">
      <alignment horizontal="center"/>
    </xf>
    <xf numFmtId="0" fontId="5" fillId="12" borderId="5" xfId="0" applyFont="1" applyFill="1" applyBorder="1" applyAlignment="1">
      <alignment horizontal="center" vertical="center"/>
    </xf>
    <xf numFmtId="0" fontId="16" fillId="0" borderId="0" xfId="0" applyFont="1" applyAlignment="1">
      <alignment horizontal="left" wrapText="1"/>
    </xf>
    <xf numFmtId="0" fontId="0" fillId="0" borderId="0" xfId="0" applyAlignment="1">
      <alignment horizontal="center"/>
    </xf>
    <xf numFmtId="0" fontId="0" fillId="0" borderId="0" xfId="0" applyAlignment="1">
      <alignment vertical="center"/>
    </xf>
    <xf numFmtId="0" fontId="0" fillId="0" borderId="10" xfId="0" applyBorder="1"/>
    <xf numFmtId="0" fontId="25" fillId="0" borderId="0" xfId="0" applyFont="1"/>
    <xf numFmtId="0" fontId="25" fillId="0" borderId="10" xfId="0" applyFont="1" applyBorder="1"/>
    <xf numFmtId="0" fontId="25" fillId="0" borderId="10" xfId="0" applyFont="1" applyBorder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2" fillId="14" borderId="10" xfId="0" applyFont="1" applyFill="1" applyBorder="1" applyAlignment="1">
      <alignment horizontal="center" vertical="center"/>
    </xf>
    <xf numFmtId="0" fontId="2" fillId="6" borderId="10" xfId="0" applyFont="1" applyFill="1" applyBorder="1" applyAlignment="1">
      <alignment horizontal="center" vertical="center"/>
    </xf>
    <xf numFmtId="0" fontId="0" fillId="11" borderId="10" xfId="0" applyFill="1" applyBorder="1" applyAlignment="1">
      <alignment horizontal="center" vertical="center"/>
    </xf>
    <xf numFmtId="0" fontId="2" fillId="6" borderId="10" xfId="0" applyFont="1" applyFill="1" applyBorder="1" applyAlignment="1">
      <alignment vertical="center"/>
    </xf>
    <xf numFmtId="0" fontId="2" fillId="7" borderId="19" xfId="0" applyFont="1" applyFill="1" applyBorder="1" applyAlignment="1">
      <alignment horizontal="center" vertical="center"/>
    </xf>
    <xf numFmtId="0" fontId="2" fillId="11" borderId="5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7" borderId="2" xfId="0" applyFont="1" applyFill="1" applyBorder="1" applyAlignment="1">
      <alignment horizontal="center" vertical="center"/>
    </xf>
    <xf numFmtId="0" fontId="28" fillId="13" borderId="10" xfId="0" applyFont="1" applyFill="1" applyBorder="1"/>
    <xf numFmtId="0" fontId="0" fillId="0" borderId="11" xfId="0" applyBorder="1"/>
    <xf numFmtId="0" fontId="0" fillId="0" borderId="18" xfId="0" applyBorder="1"/>
    <xf numFmtId="0" fontId="0" fillId="0" borderId="12" xfId="0" applyBorder="1"/>
    <xf numFmtId="0" fontId="0" fillId="0" borderId="22" xfId="0" applyBorder="1"/>
    <xf numFmtId="0" fontId="0" fillId="0" borderId="23" xfId="0" applyBorder="1"/>
    <xf numFmtId="0" fontId="0" fillId="0" borderId="24" xfId="0" applyBorder="1"/>
    <xf numFmtId="0" fontId="0" fillId="0" borderId="13" xfId="0" applyBorder="1"/>
    <xf numFmtId="0" fontId="29" fillId="11" borderId="10" xfId="0" applyFont="1" applyFill="1" applyBorder="1" applyAlignment="1">
      <alignment horizontal="center" vertical="center"/>
    </xf>
    <xf numFmtId="0" fontId="23" fillId="0" borderId="10" xfId="0" applyFont="1" applyBorder="1"/>
    <xf numFmtId="0" fontId="26" fillId="0" borderId="10" xfId="0" applyFont="1" applyBorder="1" applyAlignment="1">
      <alignment horizontal="center" vertical="center"/>
    </xf>
    <xf numFmtId="0" fontId="0" fillId="12" borderId="0" xfId="0" applyFill="1"/>
    <xf numFmtId="10" fontId="0" fillId="0" borderId="0" xfId="0" applyNumberFormat="1"/>
    <xf numFmtId="0" fontId="3" fillId="3" borderId="19" xfId="0" applyFont="1" applyFill="1" applyBorder="1" applyAlignment="1">
      <alignment horizontal="center" vertical="center" wrapText="1"/>
    </xf>
    <xf numFmtId="0" fontId="2" fillId="14" borderId="17" xfId="0" applyFont="1" applyFill="1" applyBorder="1" applyAlignment="1">
      <alignment horizontal="center" vertical="center"/>
    </xf>
    <xf numFmtId="0" fontId="2" fillId="7" borderId="17" xfId="0" applyFont="1" applyFill="1" applyBorder="1" applyAlignment="1">
      <alignment horizontal="center" vertical="center"/>
    </xf>
    <xf numFmtId="0" fontId="0" fillId="0" borderId="20" xfId="0" applyBorder="1"/>
    <xf numFmtId="0" fontId="0" fillId="0" borderId="14" xfId="0" applyBorder="1"/>
    <xf numFmtId="0" fontId="23" fillId="0" borderId="20" xfId="0" applyFont="1" applyBorder="1"/>
    <xf numFmtId="0" fontId="27" fillId="0" borderId="20" xfId="0" applyFont="1" applyBorder="1"/>
    <xf numFmtId="0" fontId="25" fillId="12" borderId="10" xfId="0" applyFont="1" applyFill="1" applyBorder="1"/>
    <xf numFmtId="0" fontId="0" fillId="0" borderId="21" xfId="0" applyBorder="1"/>
    <xf numFmtId="0" fontId="28" fillId="13" borderId="16" xfId="0" applyFont="1" applyFill="1" applyBorder="1"/>
    <xf numFmtId="0" fontId="25" fillId="23" borderId="10" xfId="0" applyFont="1" applyFill="1" applyBorder="1"/>
    <xf numFmtId="0" fontId="0" fillId="23" borderId="10" xfId="0" applyFill="1" applyBorder="1"/>
    <xf numFmtId="0" fontId="25" fillId="23" borderId="0" xfId="0" applyFont="1" applyFill="1"/>
    <xf numFmtId="0" fontId="25" fillId="23" borderId="22" xfId="0" applyFont="1" applyFill="1" applyBorder="1"/>
    <xf numFmtId="9" fontId="0" fillId="0" borderId="0" xfId="0" applyNumberFormat="1"/>
    <xf numFmtId="10" fontId="0" fillId="0" borderId="14" xfId="0" applyNumberFormat="1" applyBorder="1"/>
    <xf numFmtId="10" fontId="0" fillId="0" borderId="10" xfId="0" applyNumberFormat="1" applyBorder="1"/>
    <xf numFmtId="10" fontId="0" fillId="0" borderId="15" xfId="0" applyNumberFormat="1" applyBorder="1"/>
    <xf numFmtId="10" fontId="0" fillId="24" borderId="15" xfId="0" applyNumberFormat="1" applyFill="1" applyBorder="1"/>
    <xf numFmtId="0" fontId="25" fillId="24" borderId="23" xfId="0" applyFont="1" applyFill="1" applyBorder="1"/>
    <xf numFmtId="0" fontId="0" fillId="0" borderId="15" xfId="0" applyBorder="1"/>
    <xf numFmtId="0" fontId="0" fillId="0" borderId="16" xfId="0" applyBorder="1"/>
    <xf numFmtId="10" fontId="0" fillId="0" borderId="12" xfId="0" applyNumberFormat="1" applyBorder="1"/>
    <xf numFmtId="0" fontId="25" fillId="0" borderId="10" xfId="0" applyFont="1" applyBorder="1" applyAlignment="1">
      <alignment horizontal="center"/>
    </xf>
    <xf numFmtId="0" fontId="25" fillId="23" borderId="20" xfId="0" applyFont="1" applyFill="1" applyBorder="1"/>
    <xf numFmtId="0" fontId="25" fillId="0" borderId="14" xfId="0" applyFont="1" applyBorder="1" applyAlignment="1">
      <alignment horizontal="center"/>
    </xf>
    <xf numFmtId="0" fontId="25" fillId="0" borderId="11" xfId="0" applyFont="1" applyBorder="1" applyAlignment="1">
      <alignment horizontal="center"/>
    </xf>
    <xf numFmtId="0" fontId="28" fillId="13" borderId="22" xfId="0" applyFont="1" applyFill="1" applyBorder="1"/>
    <xf numFmtId="0" fontId="28" fillId="13" borderId="15" xfId="0" applyFont="1" applyFill="1" applyBorder="1"/>
    <xf numFmtId="0" fontId="25" fillId="0" borderId="23" xfId="0" applyFont="1" applyBorder="1"/>
    <xf numFmtId="0" fontId="25" fillId="0" borderId="16" xfId="0" applyFont="1" applyBorder="1"/>
    <xf numFmtId="0" fontId="25" fillId="0" borderId="13" xfId="0" applyFont="1" applyBorder="1"/>
    <xf numFmtId="0" fontId="25" fillId="12" borderId="14" xfId="0" applyFont="1" applyFill="1" applyBorder="1"/>
    <xf numFmtId="10" fontId="0" fillId="0" borderId="16" xfId="0" applyNumberFormat="1" applyBorder="1"/>
    <xf numFmtId="0" fontId="25" fillId="0" borderId="15" xfId="0" applyFont="1" applyBorder="1"/>
    <xf numFmtId="0" fontId="25" fillId="0" borderId="12" xfId="0" applyFont="1" applyBorder="1"/>
    <xf numFmtId="0" fontId="32" fillId="24" borderId="14" xfId="0" applyFont="1" applyFill="1" applyBorder="1"/>
    <xf numFmtId="0" fontId="32" fillId="24" borderId="14" xfId="0" applyFont="1" applyFill="1" applyBorder="1" applyAlignment="1">
      <alignment horizontal="center" vertical="center"/>
    </xf>
    <xf numFmtId="0" fontId="33" fillId="13" borderId="17" xfId="0" applyFont="1" applyFill="1" applyBorder="1"/>
    <xf numFmtId="0" fontId="3" fillId="3" borderId="26" xfId="0" applyFont="1" applyFill="1" applyBorder="1" applyAlignment="1">
      <alignment horizontal="center" vertical="center" wrapText="1"/>
    </xf>
    <xf numFmtId="0" fontId="0" fillId="0" borderId="27" xfId="0" applyBorder="1"/>
    <xf numFmtId="0" fontId="0" fillId="10" borderId="28" xfId="0" applyFill="1" applyBorder="1"/>
    <xf numFmtId="0" fontId="4" fillId="8" borderId="26" xfId="0" applyFont="1" applyFill="1" applyBorder="1" applyAlignment="1">
      <alignment horizontal="center" vertical="center"/>
    </xf>
    <xf numFmtId="0" fontId="8" fillId="5" borderId="26" xfId="0" applyFont="1" applyFill="1" applyBorder="1" applyAlignment="1">
      <alignment vertical="center"/>
    </xf>
    <xf numFmtId="0" fontId="8" fillId="5" borderId="26" xfId="0" applyFont="1" applyFill="1" applyBorder="1" applyAlignment="1">
      <alignment horizontal="center" vertical="center"/>
    </xf>
    <xf numFmtId="0" fontId="9" fillId="5" borderId="26" xfId="0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0" fontId="2" fillId="5" borderId="29" xfId="0" applyFont="1" applyFill="1" applyBorder="1" applyAlignment="1">
      <alignment horizontal="center" vertical="center"/>
    </xf>
    <xf numFmtId="0" fontId="0" fillId="6" borderId="28" xfId="0" applyFill="1" applyBorder="1"/>
    <xf numFmtId="0" fontId="0" fillId="0" borderId="26" xfId="0" applyBorder="1" applyAlignment="1">
      <alignment vertical="center"/>
    </xf>
    <xf numFmtId="0" fontId="0" fillId="0" borderId="26" xfId="0" applyBorder="1" applyAlignment="1">
      <alignment horizontal="center" vertical="center"/>
    </xf>
    <xf numFmtId="0" fontId="8" fillId="6" borderId="26" xfId="0" applyFont="1" applyFill="1" applyBorder="1" applyAlignment="1">
      <alignment vertical="center"/>
    </xf>
    <xf numFmtId="0" fontId="8" fillId="6" borderId="26" xfId="0" applyFont="1" applyFill="1" applyBorder="1" applyAlignment="1">
      <alignment horizontal="center" vertical="center"/>
    </xf>
    <xf numFmtId="0" fontId="2" fillId="6" borderId="26" xfId="0" applyFont="1" applyFill="1" applyBorder="1" applyAlignment="1">
      <alignment horizontal="center" vertical="center"/>
    </xf>
    <xf numFmtId="0" fontId="2" fillId="6" borderId="29" xfId="0" applyFont="1" applyFill="1" applyBorder="1" applyAlignment="1">
      <alignment horizontal="center" vertical="center"/>
    </xf>
    <xf numFmtId="0" fontId="0" fillId="0" borderId="30" xfId="0" applyBorder="1"/>
    <xf numFmtId="0" fontId="0" fillId="4" borderId="31" xfId="0" applyFill="1" applyBorder="1"/>
    <xf numFmtId="0" fontId="2" fillId="11" borderId="26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vertical="center"/>
    </xf>
    <xf numFmtId="0" fontId="4" fillId="7" borderId="26" xfId="0" applyFont="1" applyFill="1" applyBorder="1" applyAlignment="1">
      <alignment horizontal="center" vertical="center"/>
    </xf>
    <xf numFmtId="0" fontId="2" fillId="7" borderId="26" xfId="0" applyFont="1" applyFill="1" applyBorder="1" applyAlignment="1">
      <alignment horizontal="center" vertical="center"/>
    </xf>
    <xf numFmtId="0" fontId="2" fillId="7" borderId="29" xfId="0" applyFont="1" applyFill="1" applyBorder="1" applyAlignment="1">
      <alignment horizontal="center" vertical="center"/>
    </xf>
    <xf numFmtId="0" fontId="0" fillId="11" borderId="26" xfId="0" applyFill="1" applyBorder="1" applyAlignment="1">
      <alignment horizontal="center" vertical="center"/>
    </xf>
    <xf numFmtId="0" fontId="0" fillId="7" borderId="26" xfId="0" applyFill="1" applyBorder="1" applyAlignment="1">
      <alignment horizontal="center" vertical="center"/>
    </xf>
    <xf numFmtId="0" fontId="0" fillId="6" borderId="26" xfId="0" applyFill="1" applyBorder="1" applyAlignment="1">
      <alignment vertical="center"/>
    </xf>
    <xf numFmtId="0" fontId="8" fillId="11" borderId="26" xfId="0" applyFont="1" applyFill="1" applyBorder="1" applyAlignment="1">
      <alignment horizontal="center" vertical="center"/>
    </xf>
    <xf numFmtId="0" fontId="8" fillId="6" borderId="29" xfId="0" applyFont="1" applyFill="1" applyBorder="1" applyAlignment="1">
      <alignment horizontal="center" vertical="center"/>
    </xf>
    <xf numFmtId="0" fontId="8" fillId="7" borderId="26" xfId="0" applyFont="1" applyFill="1" applyBorder="1" applyAlignment="1">
      <alignment vertical="center"/>
    </xf>
    <xf numFmtId="0" fontId="8" fillId="7" borderId="26" xfId="0" applyFont="1" applyFill="1" applyBorder="1" applyAlignment="1">
      <alignment horizontal="center" vertical="center"/>
    </xf>
    <xf numFmtId="0" fontId="0" fillId="7" borderId="26" xfId="0" applyFill="1" applyBorder="1" applyAlignment="1">
      <alignment vertical="center"/>
    </xf>
    <xf numFmtId="0" fontId="7" fillId="11" borderId="26" xfId="0" applyFont="1" applyFill="1" applyBorder="1" applyAlignment="1">
      <alignment horizontal="center" vertical="center"/>
    </xf>
    <xf numFmtId="0" fontId="2" fillId="14" borderId="26" xfId="0" applyFont="1" applyFill="1" applyBorder="1" applyAlignment="1">
      <alignment horizontal="center" vertical="center"/>
    </xf>
    <xf numFmtId="0" fontId="2" fillId="14" borderId="29" xfId="0" applyFont="1" applyFill="1" applyBorder="1" applyAlignment="1">
      <alignment horizontal="center" vertical="center"/>
    </xf>
    <xf numFmtId="0" fontId="2" fillId="6" borderId="29" xfId="0" applyFont="1" applyFill="1" applyBorder="1" applyAlignment="1">
      <alignment vertical="center"/>
    </xf>
    <xf numFmtId="0" fontId="2" fillId="14" borderId="32" xfId="0" applyFont="1" applyFill="1" applyBorder="1" applyAlignment="1">
      <alignment vertical="center"/>
    </xf>
    <xf numFmtId="0" fontId="2" fillId="6" borderId="26" xfId="0" applyFont="1" applyFill="1" applyBorder="1" applyAlignment="1">
      <alignment vertical="center"/>
    </xf>
    <xf numFmtId="0" fontId="12" fillId="0" borderId="26" xfId="0" applyFont="1" applyBorder="1" applyAlignment="1">
      <alignment horizontal="center" vertical="center"/>
    </xf>
    <xf numFmtId="0" fontId="0" fillId="14" borderId="26" xfId="0" applyFill="1" applyBorder="1" applyAlignment="1">
      <alignment horizontal="center" vertical="center"/>
    </xf>
    <xf numFmtId="0" fontId="2" fillId="7" borderId="26" xfId="0" applyFont="1" applyFill="1" applyBorder="1" applyAlignment="1">
      <alignment vertical="center"/>
    </xf>
    <xf numFmtId="0" fontId="2" fillId="5" borderId="26" xfId="0" applyFont="1" applyFill="1" applyBorder="1" applyAlignment="1">
      <alignment vertical="center"/>
    </xf>
    <xf numFmtId="0" fontId="0" fillId="0" borderId="29" xfId="0" applyBorder="1" applyAlignment="1">
      <alignment vertical="center"/>
    </xf>
    <xf numFmtId="0" fontId="2" fillId="4" borderId="26" xfId="0" applyFont="1" applyFill="1" applyBorder="1" applyAlignment="1">
      <alignment vertical="center"/>
    </xf>
    <xf numFmtId="0" fontId="2" fillId="4" borderId="26" xfId="0" applyFont="1" applyFill="1" applyBorder="1" applyAlignment="1">
      <alignment horizontal="center" vertical="center"/>
    </xf>
    <xf numFmtId="0" fontId="0" fillId="4" borderId="26" xfId="0" applyFill="1" applyBorder="1" applyAlignment="1">
      <alignment vertical="center"/>
    </xf>
    <xf numFmtId="0" fontId="5" fillId="12" borderId="26" xfId="0" applyFont="1" applyFill="1" applyBorder="1" applyAlignment="1">
      <alignment horizontal="center" vertical="center"/>
    </xf>
    <xf numFmtId="0" fontId="5" fillId="12" borderId="29" xfId="0" applyFont="1" applyFill="1" applyBorder="1" applyAlignment="1">
      <alignment horizontal="center" vertical="center"/>
    </xf>
    <xf numFmtId="0" fontId="22" fillId="13" borderId="26" xfId="0" applyFont="1" applyFill="1" applyBorder="1" applyAlignment="1">
      <alignment horizontal="left" vertical="center" wrapText="1"/>
    </xf>
    <xf numFmtId="0" fontId="15" fillId="13" borderId="26" xfId="0" applyFont="1" applyFill="1" applyBorder="1" applyAlignment="1">
      <alignment horizontal="center" vertical="center" wrapText="1"/>
    </xf>
    <xf numFmtId="0" fontId="19" fillId="13" borderId="26" xfId="0" applyFont="1" applyFill="1" applyBorder="1" applyAlignment="1">
      <alignment horizontal="center" vertical="center"/>
    </xf>
    <xf numFmtId="0" fontId="16" fillId="13" borderId="26" xfId="0" applyFont="1" applyFill="1" applyBorder="1" applyAlignment="1">
      <alignment horizontal="left" vertical="center" wrapText="1"/>
    </xf>
    <xf numFmtId="0" fontId="16" fillId="13" borderId="29" xfId="0" applyFont="1" applyFill="1" applyBorder="1" applyAlignment="1">
      <alignment horizontal="left" vertical="center" wrapText="1"/>
    </xf>
    <xf numFmtId="0" fontId="16" fillId="0" borderId="26" xfId="0" applyFont="1" applyBorder="1" applyAlignment="1">
      <alignment horizontal="left" vertical="center" wrapText="1"/>
    </xf>
    <xf numFmtId="0" fontId="16" fillId="0" borderId="26" xfId="0" applyFont="1" applyBorder="1" applyAlignment="1">
      <alignment horizontal="center" vertical="center" wrapText="1"/>
    </xf>
    <xf numFmtId="0" fontId="13" fillId="0" borderId="26" xfId="0" applyFont="1" applyBorder="1" applyAlignment="1">
      <alignment horizontal="center" vertical="center"/>
    </xf>
    <xf numFmtId="0" fontId="22" fillId="17" borderId="26" xfId="0" applyFont="1" applyFill="1" applyBorder="1" applyAlignment="1">
      <alignment horizontal="left" vertical="center" wrapText="1"/>
    </xf>
    <xf numFmtId="0" fontId="15" fillId="17" borderId="26" xfId="0" applyFont="1" applyFill="1" applyBorder="1" applyAlignment="1">
      <alignment horizontal="center" vertical="center" wrapText="1"/>
    </xf>
    <xf numFmtId="0" fontId="13" fillId="17" borderId="26" xfId="0" applyFont="1" applyFill="1" applyBorder="1" applyAlignment="1">
      <alignment horizontal="center" vertical="center"/>
    </xf>
    <xf numFmtId="0" fontId="16" fillId="17" borderId="29" xfId="0" applyFont="1" applyFill="1" applyBorder="1" applyAlignment="1">
      <alignment horizontal="left" vertical="center" wrapText="1"/>
    </xf>
    <xf numFmtId="0" fontId="16" fillId="17" borderId="26" xfId="0" applyFont="1" applyFill="1" applyBorder="1" applyAlignment="1">
      <alignment horizontal="left" vertical="center" wrapText="1"/>
    </xf>
    <xf numFmtId="0" fontId="12" fillId="17" borderId="26" xfId="0" applyFont="1" applyFill="1" applyBorder="1" applyAlignment="1">
      <alignment horizontal="left" vertical="center" wrapText="1"/>
    </xf>
    <xf numFmtId="0" fontId="20" fillId="17" borderId="26" xfId="0" applyFont="1" applyFill="1" applyBorder="1" applyAlignment="1">
      <alignment horizontal="center" vertical="center"/>
    </xf>
    <xf numFmtId="0" fontId="21" fillId="15" borderId="26" xfId="0" applyFont="1" applyFill="1" applyBorder="1" applyAlignment="1">
      <alignment horizontal="left" vertical="center" wrapText="1"/>
    </xf>
    <xf numFmtId="0" fontId="18" fillId="15" borderId="26" xfId="0" applyFont="1" applyFill="1" applyBorder="1" applyAlignment="1">
      <alignment horizontal="center" vertical="center" wrapText="1"/>
    </xf>
    <xf numFmtId="0" fontId="13" fillId="15" borderId="26" xfId="0" applyFont="1" applyFill="1" applyBorder="1" applyAlignment="1">
      <alignment horizontal="center" vertical="center"/>
    </xf>
    <xf numFmtId="0" fontId="17" fillId="15" borderId="26" xfId="0" applyFont="1" applyFill="1" applyBorder="1" applyAlignment="1">
      <alignment horizontal="left" vertical="center" wrapText="1"/>
    </xf>
    <xf numFmtId="0" fontId="17" fillId="15" borderId="29" xfId="0" applyFont="1" applyFill="1" applyBorder="1" applyAlignment="1">
      <alignment horizontal="left" vertical="center" wrapText="1"/>
    </xf>
    <xf numFmtId="0" fontId="17" fillId="0" borderId="26" xfId="0" applyFont="1" applyBorder="1" applyAlignment="1">
      <alignment horizontal="left" vertical="center" wrapText="1"/>
    </xf>
    <xf numFmtId="0" fontId="17" fillId="0" borderId="26" xfId="0" applyFont="1" applyBorder="1" applyAlignment="1">
      <alignment horizontal="center" vertical="center" wrapText="1"/>
    </xf>
    <xf numFmtId="0" fontId="12" fillId="18" borderId="26" xfId="0" applyFont="1" applyFill="1" applyBorder="1" applyAlignment="1">
      <alignment horizontal="left" vertical="top" wrapText="1"/>
    </xf>
    <xf numFmtId="0" fontId="15" fillId="18" borderId="26" xfId="0" applyFont="1" applyFill="1" applyBorder="1" applyAlignment="1">
      <alignment horizontal="center" vertical="center" wrapText="1"/>
    </xf>
    <xf numFmtId="0" fontId="13" fillId="18" borderId="26" xfId="0" applyFont="1" applyFill="1" applyBorder="1" applyAlignment="1">
      <alignment horizontal="center" vertical="center"/>
    </xf>
    <xf numFmtId="0" fontId="16" fillId="18" borderId="26" xfId="0" applyFont="1" applyFill="1" applyBorder="1" applyAlignment="1">
      <alignment horizontal="left" vertical="center" wrapText="1"/>
    </xf>
    <xf numFmtId="0" fontId="16" fillId="18" borderId="29" xfId="0" applyFont="1" applyFill="1" applyBorder="1" applyAlignment="1">
      <alignment horizontal="left" vertical="center" wrapText="1"/>
    </xf>
    <xf numFmtId="0" fontId="16" fillId="0" borderId="26" xfId="0" applyFont="1" applyBorder="1" applyAlignment="1">
      <alignment horizontal="left" wrapText="1"/>
    </xf>
    <xf numFmtId="0" fontId="12" fillId="10" borderId="26" xfId="0" applyFont="1" applyFill="1" applyBorder="1" applyAlignment="1">
      <alignment horizontal="left" vertical="top" wrapText="1"/>
    </xf>
    <xf numFmtId="0" fontId="15" fillId="10" borderId="26" xfId="0" applyFont="1" applyFill="1" applyBorder="1" applyAlignment="1">
      <alignment horizontal="center" vertical="center" wrapText="1"/>
    </xf>
    <xf numFmtId="0" fontId="13" fillId="10" borderId="26" xfId="0" applyFont="1" applyFill="1" applyBorder="1" applyAlignment="1">
      <alignment horizontal="center" vertical="center"/>
    </xf>
    <xf numFmtId="0" fontId="16" fillId="10" borderId="26" xfId="0" applyFont="1" applyFill="1" applyBorder="1" applyAlignment="1">
      <alignment horizontal="left" vertical="center" wrapText="1"/>
    </xf>
    <xf numFmtId="0" fontId="16" fillId="10" borderId="29" xfId="0" applyFont="1" applyFill="1" applyBorder="1" applyAlignment="1">
      <alignment horizontal="left" vertical="center" wrapText="1"/>
    </xf>
    <xf numFmtId="0" fontId="12" fillId="13" borderId="26" xfId="0" applyFont="1" applyFill="1" applyBorder="1" applyAlignment="1">
      <alignment horizontal="left" vertical="top" wrapText="1"/>
    </xf>
    <xf numFmtId="0" fontId="13" fillId="13" borderId="26" xfId="0" applyFont="1" applyFill="1" applyBorder="1" applyAlignment="1">
      <alignment horizontal="center" vertical="center"/>
    </xf>
    <xf numFmtId="0" fontId="16" fillId="0" borderId="26" xfId="0" applyFont="1" applyBorder="1" applyAlignment="1">
      <alignment horizontal="center" wrapText="1"/>
    </xf>
    <xf numFmtId="0" fontId="12" fillId="4" borderId="26" xfId="0" applyFont="1" applyFill="1" applyBorder="1" applyAlignment="1">
      <alignment horizontal="left" vertical="top" wrapText="1"/>
    </xf>
    <xf numFmtId="0" fontId="15" fillId="4" borderId="26" xfId="0" applyFont="1" applyFill="1" applyBorder="1" applyAlignment="1">
      <alignment horizontal="center" vertical="center" wrapText="1"/>
    </xf>
    <xf numFmtId="0" fontId="13" fillId="4" borderId="26" xfId="0" applyFont="1" applyFill="1" applyBorder="1" applyAlignment="1">
      <alignment horizontal="center" vertical="center"/>
    </xf>
    <xf numFmtId="0" fontId="16" fillId="4" borderId="26" xfId="0" applyFont="1" applyFill="1" applyBorder="1" applyAlignment="1">
      <alignment horizontal="left" vertical="center" wrapText="1"/>
    </xf>
    <xf numFmtId="0" fontId="16" fillId="4" borderId="29" xfId="0" applyFont="1" applyFill="1" applyBorder="1" applyAlignment="1">
      <alignment horizontal="left" vertical="center" wrapText="1"/>
    </xf>
    <xf numFmtId="0" fontId="12" fillId="10" borderId="26" xfId="0" applyFont="1" applyFill="1" applyBorder="1" applyAlignment="1">
      <alignment horizontal="left" vertical="center" wrapText="1"/>
    </xf>
    <xf numFmtId="0" fontId="16" fillId="0" borderId="26" xfId="0" applyFont="1" applyBorder="1" applyAlignment="1">
      <alignment horizontal="left" vertical="top" wrapText="1"/>
    </xf>
    <xf numFmtId="0" fontId="13" fillId="0" borderId="29" xfId="0" applyFont="1" applyBorder="1" applyAlignment="1">
      <alignment vertical="center"/>
    </xf>
    <xf numFmtId="0" fontId="22" fillId="4" borderId="26" xfId="0" applyFont="1" applyFill="1" applyBorder="1" applyAlignment="1">
      <alignment horizontal="left" vertical="top" wrapText="1"/>
    </xf>
    <xf numFmtId="0" fontId="12" fillId="6" borderId="26" xfId="0" applyFont="1" applyFill="1" applyBorder="1" applyAlignment="1">
      <alignment horizontal="left" vertical="top" wrapText="1"/>
    </xf>
    <xf numFmtId="0" fontId="15" fillId="6" borderId="26" xfId="0" applyFont="1" applyFill="1" applyBorder="1" applyAlignment="1">
      <alignment horizontal="center" vertical="center" wrapText="1"/>
    </xf>
    <xf numFmtId="0" fontId="13" fillId="6" borderId="26" xfId="0" applyFont="1" applyFill="1" applyBorder="1" applyAlignment="1">
      <alignment horizontal="center" vertical="center"/>
    </xf>
    <xf numFmtId="0" fontId="16" fillId="6" borderId="26" xfId="0" applyFont="1" applyFill="1" applyBorder="1" applyAlignment="1">
      <alignment horizontal="left" vertical="center" wrapText="1"/>
    </xf>
    <xf numFmtId="0" fontId="12" fillId="8" borderId="26" xfId="0" applyFont="1" applyFill="1" applyBorder="1" applyAlignment="1">
      <alignment horizontal="left" vertical="top" wrapText="1"/>
    </xf>
    <xf numFmtId="0" fontId="15" fillId="8" borderId="26" xfId="0" applyFont="1" applyFill="1" applyBorder="1" applyAlignment="1">
      <alignment horizontal="center" vertical="center" wrapText="1"/>
    </xf>
    <xf numFmtId="0" fontId="13" fillId="8" borderId="26" xfId="0" applyFont="1" applyFill="1" applyBorder="1" applyAlignment="1">
      <alignment horizontal="center" vertical="center"/>
    </xf>
    <xf numFmtId="0" fontId="16" fillId="8" borderId="26" xfId="0" applyFont="1" applyFill="1" applyBorder="1" applyAlignment="1">
      <alignment horizontal="left" vertical="center" wrapText="1"/>
    </xf>
    <xf numFmtId="0" fontId="12" fillId="9" borderId="26" xfId="0" applyFont="1" applyFill="1" applyBorder="1" applyAlignment="1">
      <alignment horizontal="left" vertical="top" wrapText="1"/>
    </xf>
    <xf numFmtId="0" fontId="15" fillId="9" borderId="26" xfId="0" applyFont="1" applyFill="1" applyBorder="1" applyAlignment="1">
      <alignment horizontal="center" vertical="center" wrapText="1"/>
    </xf>
    <xf numFmtId="0" fontId="13" fillId="9" borderId="26" xfId="0" applyFont="1" applyFill="1" applyBorder="1" applyAlignment="1">
      <alignment horizontal="center" vertical="center"/>
    </xf>
    <xf numFmtId="0" fontId="16" fillId="9" borderId="26" xfId="0" applyFont="1" applyFill="1" applyBorder="1" applyAlignment="1">
      <alignment horizontal="left" vertical="center" wrapText="1"/>
    </xf>
    <xf numFmtId="0" fontId="16" fillId="9" borderId="26" xfId="0" applyFont="1" applyFill="1" applyBorder="1" applyAlignment="1">
      <alignment horizontal="left" wrapText="1"/>
    </xf>
    <xf numFmtId="0" fontId="12" fillId="19" borderId="26" xfId="0" applyFont="1" applyFill="1" applyBorder="1" applyAlignment="1">
      <alignment horizontal="left" vertical="top" wrapText="1"/>
    </xf>
    <xf numFmtId="0" fontId="15" fillId="19" borderId="26" xfId="0" applyFont="1" applyFill="1" applyBorder="1" applyAlignment="1">
      <alignment horizontal="center" vertical="center" wrapText="1"/>
    </xf>
    <xf numFmtId="0" fontId="13" fillId="19" borderId="26" xfId="0" applyFont="1" applyFill="1" applyBorder="1" applyAlignment="1">
      <alignment horizontal="center" vertical="center"/>
    </xf>
    <xf numFmtId="0" fontId="16" fillId="19" borderId="26" xfId="0" applyFont="1" applyFill="1" applyBorder="1" applyAlignment="1">
      <alignment horizontal="left" vertical="center" wrapText="1"/>
    </xf>
    <xf numFmtId="0" fontId="12" fillId="14" borderId="26" xfId="0" applyFont="1" applyFill="1" applyBorder="1" applyAlignment="1">
      <alignment horizontal="left" vertical="top" wrapText="1"/>
    </xf>
    <xf numFmtId="0" fontId="15" fillId="14" borderId="26" xfId="0" applyFont="1" applyFill="1" applyBorder="1" applyAlignment="1">
      <alignment horizontal="center" vertical="center" wrapText="1"/>
    </xf>
    <xf numFmtId="0" fontId="13" fillId="14" borderId="26" xfId="0" applyFont="1" applyFill="1" applyBorder="1" applyAlignment="1">
      <alignment horizontal="center" vertical="center"/>
    </xf>
    <xf numFmtId="0" fontId="16" fillId="14" borderId="26" xfId="0" applyFont="1" applyFill="1" applyBorder="1" applyAlignment="1">
      <alignment horizontal="left" vertical="center" wrapText="1"/>
    </xf>
    <xf numFmtId="0" fontId="12" fillId="20" borderId="26" xfId="0" applyFont="1" applyFill="1" applyBorder="1" applyAlignment="1">
      <alignment horizontal="left" vertical="top" wrapText="1"/>
    </xf>
    <xf numFmtId="0" fontId="15" fillId="20" borderId="26" xfId="0" applyFont="1" applyFill="1" applyBorder="1" applyAlignment="1">
      <alignment horizontal="center" vertical="center" wrapText="1"/>
    </xf>
    <xf numFmtId="0" fontId="13" fillId="20" borderId="26" xfId="0" applyFont="1" applyFill="1" applyBorder="1" applyAlignment="1">
      <alignment horizontal="center" vertical="center"/>
    </xf>
    <xf numFmtId="0" fontId="16" fillId="20" borderId="26" xfId="0" applyFont="1" applyFill="1" applyBorder="1" applyAlignment="1">
      <alignment horizontal="left" vertical="center" wrapText="1"/>
    </xf>
    <xf numFmtId="0" fontId="12" fillId="21" borderId="26" xfId="0" applyFont="1" applyFill="1" applyBorder="1" applyAlignment="1">
      <alignment horizontal="left" vertical="top" wrapText="1"/>
    </xf>
    <xf numFmtId="0" fontId="15" fillId="21" borderId="26" xfId="0" applyFont="1" applyFill="1" applyBorder="1" applyAlignment="1">
      <alignment horizontal="center" vertical="center" wrapText="1"/>
    </xf>
    <xf numFmtId="0" fontId="13" fillId="21" borderId="26" xfId="0" applyFont="1" applyFill="1" applyBorder="1" applyAlignment="1">
      <alignment horizontal="center" vertical="center"/>
    </xf>
    <xf numFmtId="0" fontId="16" fillId="21" borderId="26" xfId="0" applyFont="1" applyFill="1" applyBorder="1" applyAlignment="1">
      <alignment horizontal="left" vertical="center" wrapText="1"/>
    </xf>
    <xf numFmtId="0" fontId="15" fillId="9" borderId="26" xfId="0" applyFont="1" applyFill="1" applyBorder="1" applyAlignment="1">
      <alignment horizontal="center" wrapText="1"/>
    </xf>
    <xf numFmtId="0" fontId="12" fillId="22" borderId="26" xfId="0" applyFont="1" applyFill="1" applyBorder="1" applyAlignment="1">
      <alignment horizontal="left" vertical="top" wrapText="1"/>
    </xf>
    <xf numFmtId="0" fontId="15" fillId="22" borderId="26" xfId="0" applyFont="1" applyFill="1" applyBorder="1" applyAlignment="1">
      <alignment horizontal="center" wrapText="1"/>
    </xf>
    <xf numFmtId="0" fontId="13" fillId="22" borderId="26" xfId="0" applyFont="1" applyFill="1" applyBorder="1" applyAlignment="1">
      <alignment horizontal="center" vertical="center"/>
    </xf>
    <xf numFmtId="0" fontId="16" fillId="22" borderId="26" xfId="0" applyFont="1" applyFill="1" applyBorder="1" applyAlignment="1">
      <alignment horizontal="left" vertical="center" wrapText="1"/>
    </xf>
    <xf numFmtId="0" fontId="32" fillId="0" borderId="10" xfId="0" applyFont="1" applyBorder="1" applyAlignment="1">
      <alignment horizontal="center" vertical="center"/>
    </xf>
    <xf numFmtId="0" fontId="0" fillId="11" borderId="33" xfId="0" applyFill="1" applyBorder="1" applyAlignment="1">
      <alignment horizontal="center" vertical="center"/>
    </xf>
    <xf numFmtId="0" fontId="0" fillId="0" borderId="33" xfId="0" applyBorder="1" applyAlignment="1">
      <alignment horizontal="center" vertical="center"/>
    </xf>
    <xf numFmtId="0" fontId="2" fillId="5" borderId="33" xfId="0" applyFont="1" applyFill="1" applyBorder="1" applyAlignment="1">
      <alignment horizontal="center" vertical="center"/>
    </xf>
    <xf numFmtId="0" fontId="3" fillId="3" borderId="33" xfId="0" applyFont="1" applyFill="1" applyBorder="1" applyAlignment="1">
      <alignment horizontal="center" vertical="center" wrapText="1"/>
    </xf>
    <xf numFmtId="10" fontId="0" fillId="25" borderId="12" xfId="0" applyNumberFormat="1" applyFill="1" applyBorder="1"/>
    <xf numFmtId="0" fontId="34" fillId="13" borderId="15" xfId="0" applyFont="1" applyFill="1" applyBorder="1" applyAlignment="1">
      <alignment wrapText="1"/>
    </xf>
    <xf numFmtId="0" fontId="25" fillId="14" borderId="16" xfId="0" applyFont="1" applyFill="1" applyBorder="1" applyAlignment="1">
      <alignment horizontal="center" vertical="center"/>
    </xf>
    <xf numFmtId="10" fontId="0" fillId="14" borderId="14" xfId="0" applyNumberFormat="1" applyFill="1" applyBorder="1"/>
    <xf numFmtId="0" fontId="33" fillId="26" borderId="29" xfId="0" applyFont="1" applyFill="1" applyBorder="1" applyAlignment="1">
      <alignment horizontal="center" vertical="center"/>
    </xf>
    <xf numFmtId="0" fontId="36" fillId="26" borderId="29" xfId="0" applyFont="1" applyFill="1" applyBorder="1" applyAlignment="1">
      <alignment horizontal="center" vertical="center"/>
    </xf>
    <xf numFmtId="0" fontId="28" fillId="26" borderId="29" xfId="0" applyFont="1" applyFill="1" applyBorder="1" applyAlignment="1">
      <alignment horizontal="center" vertical="center"/>
    </xf>
    <xf numFmtId="0" fontId="1" fillId="0" borderId="10" xfId="0" applyFont="1" applyBorder="1" applyAlignment="1">
      <alignment horizontal="center" vertical="center"/>
    </xf>
    <xf numFmtId="10" fontId="1" fillId="0" borderId="20" xfId="0" applyNumberFormat="1" applyFont="1" applyBorder="1" applyAlignment="1">
      <alignment horizontal="center" vertical="center"/>
    </xf>
    <xf numFmtId="10" fontId="1" fillId="0" borderId="25" xfId="0" applyNumberFormat="1" applyFont="1" applyBorder="1" applyAlignment="1">
      <alignment horizontal="center" vertical="center"/>
    </xf>
    <xf numFmtId="10" fontId="1" fillId="14" borderId="20" xfId="0" applyNumberFormat="1" applyFont="1" applyFill="1" applyBorder="1" applyAlignment="1">
      <alignment horizontal="center" vertical="center"/>
    </xf>
    <xf numFmtId="10" fontId="1" fillId="14" borderId="25" xfId="0" applyNumberFormat="1" applyFont="1" applyFill="1" applyBorder="1" applyAlignment="1">
      <alignment horizontal="center" vertical="center"/>
    </xf>
    <xf numFmtId="0" fontId="1" fillId="11" borderId="10" xfId="0" applyFont="1" applyFill="1" applyBorder="1" applyAlignment="1">
      <alignment horizontal="center" vertical="center"/>
    </xf>
    <xf numFmtId="0" fontId="1" fillId="25" borderId="16" xfId="0" applyFont="1" applyFill="1" applyBorder="1" applyAlignment="1">
      <alignment horizontal="center" vertical="center"/>
    </xf>
    <xf numFmtId="10" fontId="1" fillId="25" borderId="24" xfId="0" applyNumberFormat="1" applyFont="1" applyFill="1" applyBorder="1" applyAlignment="1">
      <alignment horizontal="center" vertical="center"/>
    </xf>
    <xf numFmtId="10" fontId="1" fillId="25" borderId="23" xfId="0" applyNumberFormat="1" applyFont="1" applyFill="1" applyBorder="1" applyAlignment="1">
      <alignment horizontal="center" vertical="center"/>
    </xf>
    <xf numFmtId="10" fontId="1" fillId="24" borderId="20" xfId="0" applyNumberFormat="1" applyFont="1" applyFill="1" applyBorder="1" applyAlignment="1">
      <alignment horizontal="center" vertical="center"/>
    </xf>
    <xf numFmtId="10" fontId="1" fillId="24" borderId="25" xfId="0" applyNumberFormat="1" applyFont="1" applyFill="1" applyBorder="1" applyAlignment="1">
      <alignment horizontal="center" vertical="center"/>
    </xf>
    <xf numFmtId="0" fontId="1" fillId="0" borderId="16" xfId="0" applyFont="1" applyBorder="1" applyAlignment="1">
      <alignment horizontal="center" vertical="center"/>
    </xf>
    <xf numFmtId="10" fontId="1" fillId="0" borderId="24" xfId="0" applyNumberFormat="1" applyFont="1" applyBorder="1" applyAlignment="1">
      <alignment horizontal="center" vertical="center"/>
    </xf>
    <xf numFmtId="10" fontId="1" fillId="0" borderId="23" xfId="0" applyNumberFormat="1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2" fillId="6" borderId="29" xfId="0" applyFont="1" applyFill="1" applyBorder="1" applyAlignment="1">
      <alignment horizontal="center" vertical="center"/>
    </xf>
    <xf numFmtId="0" fontId="2" fillId="6" borderId="32" xfId="0" applyFont="1" applyFill="1" applyBorder="1" applyAlignment="1">
      <alignment horizontal="center" vertical="center"/>
    </xf>
    <xf numFmtId="0" fontId="2" fillId="7" borderId="33" xfId="0" applyFont="1" applyFill="1" applyBorder="1" applyAlignment="1">
      <alignment horizontal="center" vertical="center"/>
    </xf>
    <xf numFmtId="0" fontId="2" fillId="7" borderId="7" xfId="0" applyFont="1" applyFill="1" applyBorder="1" applyAlignment="1">
      <alignment horizontal="center" vertical="center"/>
    </xf>
    <xf numFmtId="0" fontId="2" fillId="7" borderId="5" xfId="0" applyFont="1" applyFill="1" applyBorder="1" applyAlignment="1">
      <alignment horizontal="center" vertical="center"/>
    </xf>
    <xf numFmtId="0" fontId="2" fillId="14" borderId="29" xfId="0" applyFont="1" applyFill="1" applyBorder="1" applyAlignment="1">
      <alignment horizontal="center" vertical="center"/>
    </xf>
    <xf numFmtId="0" fontId="2" fillId="14" borderId="32" xfId="0" applyFont="1" applyFill="1" applyBorder="1" applyAlignment="1">
      <alignment horizontal="center" vertical="center"/>
    </xf>
    <xf numFmtId="0" fontId="2" fillId="6" borderId="33" xfId="0" applyFont="1" applyFill="1" applyBorder="1" applyAlignment="1">
      <alignment horizontal="center" vertical="center"/>
    </xf>
    <xf numFmtId="0" fontId="2" fillId="6" borderId="7" xfId="0" applyFont="1" applyFill="1" applyBorder="1" applyAlignment="1">
      <alignment horizontal="center" vertical="center"/>
    </xf>
    <xf numFmtId="0" fontId="2" fillId="6" borderId="5" xfId="0" applyFont="1" applyFill="1" applyBorder="1" applyAlignment="1">
      <alignment horizontal="center" vertical="center"/>
    </xf>
    <xf numFmtId="0" fontId="2" fillId="7" borderId="29" xfId="0" applyFont="1" applyFill="1" applyBorder="1" applyAlignment="1">
      <alignment horizontal="center" vertical="center"/>
    </xf>
    <xf numFmtId="0" fontId="2" fillId="7" borderId="32" xfId="0" applyFont="1" applyFill="1" applyBorder="1" applyAlignment="1">
      <alignment horizontal="center" vertical="center"/>
    </xf>
    <xf numFmtId="0" fontId="0" fillId="6" borderId="26" xfId="0" applyFill="1" applyBorder="1" applyAlignment="1">
      <alignment vertical="center"/>
    </xf>
    <xf numFmtId="0" fontId="0" fillId="6" borderId="26" xfId="0" applyFill="1" applyBorder="1" applyAlignment="1">
      <alignment horizontal="center" vertical="center"/>
    </xf>
    <xf numFmtId="0" fontId="0" fillId="4" borderId="26" xfId="0" applyFill="1" applyBorder="1" applyAlignment="1">
      <alignment vertical="center"/>
    </xf>
    <xf numFmtId="0" fontId="0" fillId="7" borderId="26" xfId="0" applyFill="1" applyBorder="1" applyAlignment="1">
      <alignment vertical="center"/>
    </xf>
    <xf numFmtId="0" fontId="0" fillId="5" borderId="26" xfId="0" applyFill="1" applyBorder="1" applyAlignment="1">
      <alignment vertical="center"/>
    </xf>
    <xf numFmtId="0" fontId="2" fillId="6" borderId="33" xfId="0" applyFont="1" applyFill="1" applyBorder="1" applyAlignment="1">
      <alignment vertical="center"/>
    </xf>
    <xf numFmtId="0" fontId="2" fillId="6" borderId="7" xfId="0" applyFont="1" applyFill="1" applyBorder="1" applyAlignment="1">
      <alignment vertical="center"/>
    </xf>
    <xf numFmtId="0" fontId="2" fillId="6" borderId="5" xfId="0" applyFont="1" applyFill="1" applyBorder="1" applyAlignment="1">
      <alignment vertical="center"/>
    </xf>
    <xf numFmtId="0" fontId="2" fillId="4" borderId="26" xfId="0" applyFont="1" applyFill="1" applyBorder="1" applyAlignment="1">
      <alignment horizontal="center" vertical="center"/>
    </xf>
    <xf numFmtId="0" fontId="4" fillId="8" borderId="26" xfId="0" applyFont="1" applyFill="1" applyBorder="1" applyAlignment="1">
      <alignment horizontal="center" vertical="center"/>
    </xf>
    <xf numFmtId="0" fontId="2" fillId="6" borderId="26" xfId="0" applyFont="1" applyFill="1" applyBorder="1" applyAlignment="1">
      <alignment horizontal="center" vertical="center"/>
    </xf>
    <xf numFmtId="0" fontId="2" fillId="7" borderId="26" xfId="0" applyFont="1" applyFill="1" applyBorder="1" applyAlignment="1">
      <alignment horizontal="center" vertical="center"/>
    </xf>
    <xf numFmtId="0" fontId="10" fillId="2" borderId="26" xfId="0" applyFont="1" applyFill="1" applyBorder="1" applyAlignment="1">
      <alignment horizontal="center" vertical="center" wrapText="1"/>
    </xf>
    <xf numFmtId="0" fontId="0" fillId="6" borderId="33" xfId="0" applyFill="1" applyBorder="1" applyAlignment="1">
      <alignment vertical="center"/>
    </xf>
    <xf numFmtId="0" fontId="0" fillId="6" borderId="7" xfId="0" applyFill="1" applyBorder="1" applyAlignment="1">
      <alignment vertical="center"/>
    </xf>
    <xf numFmtId="0" fontId="0" fillId="6" borderId="5" xfId="0" applyFill="1" applyBorder="1" applyAlignment="1">
      <alignment vertical="center"/>
    </xf>
    <xf numFmtId="0" fontId="8" fillId="5" borderId="26" xfId="0" applyFont="1" applyFill="1" applyBorder="1" applyAlignment="1">
      <alignment horizontal="center" vertical="center"/>
    </xf>
    <xf numFmtId="0" fontId="8" fillId="6" borderId="26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horizontal="center" vertical="center"/>
    </xf>
    <xf numFmtId="0" fontId="8" fillId="7" borderId="26" xfId="0" applyFont="1" applyFill="1" applyBorder="1" applyAlignment="1">
      <alignment horizontal="center" vertical="center"/>
    </xf>
    <xf numFmtId="0" fontId="2" fillId="5" borderId="26" xfId="0" applyFont="1" applyFill="1" applyBorder="1" applyAlignment="1">
      <alignment horizontal="center" vertical="center"/>
    </xf>
    <xf numFmtId="0" fontId="4" fillId="7" borderId="26" xfId="0" applyFont="1" applyFill="1" applyBorder="1" applyAlignment="1">
      <alignment vertical="center"/>
    </xf>
    <xf numFmtId="0" fontId="2" fillId="7" borderId="7" xfId="0" applyFont="1" applyFill="1" applyBorder="1" applyAlignment="1">
      <alignment vertical="center"/>
    </xf>
    <xf numFmtId="0" fontId="2" fillId="7" borderId="5" xfId="0" applyFont="1" applyFill="1" applyBorder="1" applyAlignment="1">
      <alignment vertical="center"/>
    </xf>
    <xf numFmtId="0" fontId="2" fillId="6" borderId="10" xfId="0" applyFont="1" applyFill="1" applyBorder="1" applyAlignment="1">
      <alignment vertical="center"/>
    </xf>
    <xf numFmtId="0" fontId="0" fillId="10" borderId="26" xfId="0" applyFill="1" applyBorder="1" applyAlignment="1">
      <alignment vertical="center"/>
    </xf>
    <xf numFmtId="0" fontId="0" fillId="5" borderId="33" xfId="0" applyFill="1" applyBorder="1" applyAlignment="1">
      <alignment vertical="center"/>
    </xf>
    <xf numFmtId="0" fontId="0" fillId="6" borderId="10" xfId="0" applyFill="1" applyBorder="1" applyAlignment="1">
      <alignment vertical="center"/>
    </xf>
    <xf numFmtId="0" fontId="13" fillId="17" borderId="29" xfId="0" applyFont="1" applyFill="1" applyBorder="1" applyAlignment="1">
      <alignment horizontal="center" vertical="center"/>
    </xf>
    <xf numFmtId="0" fontId="13" fillId="17" borderId="32" xfId="0" applyFont="1" applyFill="1" applyBorder="1" applyAlignment="1">
      <alignment horizontal="center" vertical="center"/>
    </xf>
    <xf numFmtId="0" fontId="8" fillId="4" borderId="33" xfId="0" applyFont="1" applyFill="1" applyBorder="1" applyAlignment="1">
      <alignment horizontal="left" vertical="center" wrapText="1"/>
    </xf>
    <xf numFmtId="0" fontId="8" fillId="4" borderId="7" xfId="0" applyFont="1" applyFill="1" applyBorder="1" applyAlignment="1">
      <alignment horizontal="left" vertical="center" wrapText="1"/>
    </xf>
    <xf numFmtId="0" fontId="8" fillId="4" borderId="5" xfId="0" applyFont="1" applyFill="1" applyBorder="1" applyAlignment="1">
      <alignment horizontal="left" vertical="center" wrapText="1"/>
    </xf>
    <xf numFmtId="0" fontId="14" fillId="16" borderId="33" xfId="0" applyFont="1" applyFill="1" applyBorder="1" applyAlignment="1">
      <alignment horizontal="center" vertical="center" wrapText="1"/>
    </xf>
    <xf numFmtId="0" fontId="14" fillId="16" borderId="7" xfId="0" applyFont="1" applyFill="1" applyBorder="1" applyAlignment="1">
      <alignment horizontal="center" vertical="center" wrapText="1"/>
    </xf>
    <xf numFmtId="0" fontId="14" fillId="16" borderId="5" xfId="0" applyFont="1" applyFill="1" applyBorder="1" applyAlignment="1">
      <alignment horizontal="center" vertical="center" wrapText="1"/>
    </xf>
    <xf numFmtId="0" fontId="8" fillId="6" borderId="33" xfId="0" applyFont="1" applyFill="1" applyBorder="1" applyAlignment="1">
      <alignment horizontal="left" vertical="center" wrapText="1"/>
    </xf>
    <xf numFmtId="0" fontId="8" fillId="6" borderId="7" xfId="0" applyFont="1" applyFill="1" applyBorder="1" applyAlignment="1">
      <alignment horizontal="left" vertical="center" wrapText="1"/>
    </xf>
    <xf numFmtId="0" fontId="8" fillId="6" borderId="5" xfId="0" applyFont="1" applyFill="1" applyBorder="1" applyAlignment="1">
      <alignment horizontal="left" vertical="center" wrapText="1"/>
    </xf>
    <xf numFmtId="0" fontId="8" fillId="13" borderId="33" xfId="0" applyFont="1" applyFill="1" applyBorder="1" applyAlignment="1">
      <alignment horizontal="left" vertical="center" wrapText="1"/>
    </xf>
    <xf numFmtId="0" fontId="8" fillId="13" borderId="7" xfId="0" applyFont="1" applyFill="1" applyBorder="1" applyAlignment="1">
      <alignment horizontal="left" vertical="center" wrapText="1"/>
    </xf>
    <xf numFmtId="0" fontId="8" fillId="13" borderId="5" xfId="0" applyFont="1" applyFill="1" applyBorder="1" applyAlignment="1">
      <alignment horizontal="left" vertical="center" wrapText="1"/>
    </xf>
    <xf numFmtId="0" fontId="8" fillId="10" borderId="33" xfId="0" applyFont="1" applyFill="1" applyBorder="1" applyAlignment="1">
      <alignment horizontal="left" vertical="center" wrapText="1"/>
    </xf>
    <xf numFmtId="0" fontId="8" fillId="10" borderId="7" xfId="0" applyFont="1" applyFill="1" applyBorder="1" applyAlignment="1">
      <alignment horizontal="left" vertical="center" wrapText="1"/>
    </xf>
    <xf numFmtId="0" fontId="8" fillId="10" borderId="5" xfId="0" applyFont="1" applyFill="1" applyBorder="1" applyAlignment="1">
      <alignment horizontal="left" vertical="center" wrapText="1"/>
    </xf>
    <xf numFmtId="0" fontId="5" fillId="12" borderId="2" xfId="0" applyFont="1" applyFill="1" applyBorder="1" applyAlignment="1">
      <alignment horizontal="center"/>
    </xf>
    <xf numFmtId="0" fontId="5" fillId="12" borderId="6" xfId="0" applyFont="1" applyFill="1" applyBorder="1" applyAlignment="1">
      <alignment horizontal="center"/>
    </xf>
    <xf numFmtId="0" fontId="14" fillId="17" borderId="33" xfId="0" applyFont="1" applyFill="1" applyBorder="1" applyAlignment="1">
      <alignment horizontal="center" vertical="center" wrapText="1"/>
    </xf>
    <xf numFmtId="0" fontId="14" fillId="17" borderId="7" xfId="0" applyFont="1" applyFill="1" applyBorder="1" applyAlignment="1">
      <alignment horizontal="center" vertical="center" wrapText="1"/>
    </xf>
    <xf numFmtId="0" fontId="14" fillId="17" borderId="5" xfId="0" applyFont="1" applyFill="1" applyBorder="1" applyAlignment="1">
      <alignment horizontal="center" vertical="center" wrapText="1"/>
    </xf>
    <xf numFmtId="0" fontId="14" fillId="13" borderId="33" xfId="0" applyFont="1" applyFill="1" applyBorder="1" applyAlignment="1">
      <alignment horizontal="center" vertical="center" wrapText="1"/>
    </xf>
    <xf numFmtId="0" fontId="14" fillId="13" borderId="7" xfId="0" applyFont="1" applyFill="1" applyBorder="1" applyAlignment="1">
      <alignment horizontal="center" vertical="center" wrapText="1"/>
    </xf>
    <xf numFmtId="0" fontId="14" fillId="13" borderId="5" xfId="0" applyFont="1" applyFill="1" applyBorder="1" applyAlignment="1">
      <alignment horizontal="center" vertical="center" wrapText="1"/>
    </xf>
    <xf numFmtId="0" fontId="8" fillId="17" borderId="33" xfId="0" applyFont="1" applyFill="1" applyBorder="1" applyAlignment="1">
      <alignment horizontal="left" vertical="center" wrapText="1"/>
    </xf>
    <xf numFmtId="0" fontId="8" fillId="17" borderId="7" xfId="0" applyFont="1" applyFill="1" applyBorder="1" applyAlignment="1">
      <alignment horizontal="left" vertical="center" wrapText="1"/>
    </xf>
    <xf numFmtId="0" fontId="8" fillId="17" borderId="5" xfId="0" applyFont="1" applyFill="1" applyBorder="1" applyAlignment="1">
      <alignment horizontal="left" vertical="center" wrapText="1"/>
    </xf>
    <xf numFmtId="0" fontId="11" fillId="15" borderId="33" xfId="0" applyFont="1" applyFill="1" applyBorder="1" applyAlignment="1">
      <alignment horizontal="left" vertical="center" wrapText="1"/>
    </xf>
    <xf numFmtId="0" fontId="11" fillId="15" borderId="7" xfId="0" applyFont="1" applyFill="1" applyBorder="1" applyAlignment="1">
      <alignment horizontal="left" vertical="center" wrapText="1"/>
    </xf>
    <xf numFmtId="0" fontId="11" fillId="15" borderId="5" xfId="0" applyFont="1" applyFill="1" applyBorder="1" applyAlignment="1">
      <alignment horizontal="left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6" fillId="2" borderId="3" xfId="0" applyFont="1" applyFill="1" applyBorder="1" applyAlignment="1">
      <alignment horizontal="center" vertical="center" wrapText="1"/>
    </xf>
    <xf numFmtId="0" fontId="8" fillId="15" borderId="33" xfId="0" applyFont="1" applyFill="1" applyBorder="1" applyAlignment="1">
      <alignment horizontal="left" vertical="center" wrapText="1"/>
    </xf>
    <xf numFmtId="0" fontId="8" fillId="15" borderId="7" xfId="0" applyFont="1" applyFill="1" applyBorder="1" applyAlignment="1">
      <alignment horizontal="left" vertical="center" wrapText="1"/>
    </xf>
    <xf numFmtId="0" fontId="8" fillId="15" borderId="5" xfId="0" applyFont="1" applyFill="1" applyBorder="1" applyAlignment="1">
      <alignment horizontal="left" vertical="center" wrapText="1"/>
    </xf>
    <xf numFmtId="0" fontId="8" fillId="18" borderId="33" xfId="0" applyFont="1" applyFill="1" applyBorder="1" applyAlignment="1">
      <alignment horizontal="left" vertical="center" wrapText="1"/>
    </xf>
    <xf numFmtId="0" fontId="8" fillId="18" borderId="7" xfId="0" applyFont="1" applyFill="1" applyBorder="1" applyAlignment="1">
      <alignment horizontal="left" vertical="center" wrapText="1"/>
    </xf>
    <xf numFmtId="0" fontId="8" fillId="18" borderId="5" xfId="0" applyFont="1" applyFill="1" applyBorder="1" applyAlignment="1">
      <alignment horizontal="left" vertical="center" wrapText="1"/>
    </xf>
    <xf numFmtId="0" fontId="8" fillId="8" borderId="33" xfId="0" applyFont="1" applyFill="1" applyBorder="1" applyAlignment="1">
      <alignment horizontal="left" vertical="center" wrapText="1"/>
    </xf>
    <xf numFmtId="0" fontId="8" fillId="8" borderId="7" xfId="0" applyFont="1" applyFill="1" applyBorder="1" applyAlignment="1">
      <alignment horizontal="left" vertical="center" wrapText="1"/>
    </xf>
    <xf numFmtId="0" fontId="8" fillId="8" borderId="5" xfId="0" applyFont="1" applyFill="1" applyBorder="1" applyAlignment="1">
      <alignment horizontal="left" vertical="center" wrapText="1"/>
    </xf>
    <xf numFmtId="0" fontId="8" fillId="9" borderId="33" xfId="0" applyFont="1" applyFill="1" applyBorder="1" applyAlignment="1">
      <alignment horizontal="left" vertical="center" wrapText="1"/>
    </xf>
    <xf numFmtId="0" fontId="8" fillId="9" borderId="7" xfId="0" applyFont="1" applyFill="1" applyBorder="1" applyAlignment="1">
      <alignment horizontal="left" vertical="center" wrapText="1"/>
    </xf>
    <xf numFmtId="0" fontId="8" fillId="9" borderId="5" xfId="0" applyFont="1" applyFill="1" applyBorder="1" applyAlignment="1">
      <alignment horizontal="left" vertical="center" wrapText="1"/>
    </xf>
    <xf numFmtId="0" fontId="8" fillId="19" borderId="33" xfId="0" applyFont="1" applyFill="1" applyBorder="1" applyAlignment="1">
      <alignment horizontal="center" vertical="center" wrapText="1"/>
    </xf>
    <xf numFmtId="0" fontId="8" fillId="19" borderId="7" xfId="0" applyFont="1" applyFill="1" applyBorder="1" applyAlignment="1">
      <alignment horizontal="center" vertical="center" wrapText="1"/>
    </xf>
    <xf numFmtId="0" fontId="8" fillId="19" borderId="5" xfId="0" applyFont="1" applyFill="1" applyBorder="1" applyAlignment="1">
      <alignment horizontal="center" vertical="center" wrapText="1"/>
    </xf>
    <xf numFmtId="0" fontId="8" fillId="14" borderId="33" xfId="0" applyFont="1" applyFill="1" applyBorder="1" applyAlignment="1">
      <alignment horizontal="center" vertical="center" wrapText="1"/>
    </xf>
    <xf numFmtId="0" fontId="8" fillId="14" borderId="7" xfId="0" applyFont="1" applyFill="1" applyBorder="1" applyAlignment="1">
      <alignment horizontal="center" vertical="center" wrapText="1"/>
    </xf>
    <xf numFmtId="0" fontId="8" fillId="14" borderId="5" xfId="0" applyFont="1" applyFill="1" applyBorder="1" applyAlignment="1">
      <alignment horizontal="center" vertical="center" wrapText="1"/>
    </xf>
    <xf numFmtId="0" fontId="8" fillId="20" borderId="33" xfId="0" applyFont="1" applyFill="1" applyBorder="1" applyAlignment="1">
      <alignment horizontal="center" vertical="center" wrapText="1"/>
    </xf>
    <xf numFmtId="0" fontId="8" fillId="20" borderId="7" xfId="0" applyFont="1" applyFill="1" applyBorder="1" applyAlignment="1">
      <alignment horizontal="center" vertical="center" wrapText="1"/>
    </xf>
    <xf numFmtId="0" fontId="8" fillId="20" borderId="5" xfId="0" applyFont="1" applyFill="1" applyBorder="1" applyAlignment="1">
      <alignment horizontal="center" vertical="center" wrapText="1"/>
    </xf>
    <xf numFmtId="0" fontId="8" fillId="10" borderId="33" xfId="0" applyFont="1" applyFill="1" applyBorder="1" applyAlignment="1">
      <alignment horizontal="center" vertical="center" wrapText="1"/>
    </xf>
    <xf numFmtId="0" fontId="8" fillId="10" borderId="7" xfId="0" applyFont="1" applyFill="1" applyBorder="1" applyAlignment="1">
      <alignment horizontal="center" vertical="center" wrapText="1"/>
    </xf>
    <xf numFmtId="0" fontId="8" fillId="10" borderId="5" xfId="0" applyFont="1" applyFill="1" applyBorder="1" applyAlignment="1">
      <alignment horizontal="center" vertical="center" wrapText="1"/>
    </xf>
    <xf numFmtId="0" fontId="8" fillId="22" borderId="33" xfId="0" applyFont="1" applyFill="1" applyBorder="1" applyAlignment="1">
      <alignment horizontal="center" vertical="center" wrapText="1"/>
    </xf>
    <xf numFmtId="0" fontId="8" fillId="22" borderId="7" xfId="0" applyFont="1" applyFill="1" applyBorder="1" applyAlignment="1">
      <alignment horizontal="center" vertical="center" wrapText="1"/>
    </xf>
    <xf numFmtId="0" fontId="8" fillId="22" borderId="5" xfId="0" applyFont="1" applyFill="1" applyBorder="1" applyAlignment="1">
      <alignment horizontal="center" vertical="center" wrapText="1"/>
    </xf>
    <xf numFmtId="0" fontId="8" fillId="9" borderId="33" xfId="0" applyFont="1" applyFill="1" applyBorder="1" applyAlignment="1">
      <alignment horizontal="center" vertical="center" wrapText="1"/>
    </xf>
    <xf numFmtId="0" fontId="8" fillId="9" borderId="7" xfId="0" applyFont="1" applyFill="1" applyBorder="1" applyAlignment="1">
      <alignment horizontal="center" vertical="center" wrapText="1"/>
    </xf>
    <xf numFmtId="0" fontId="8" fillId="9" borderId="5" xfId="0" applyFont="1" applyFill="1" applyBorder="1" applyAlignment="1">
      <alignment horizontal="center" vertical="center" wrapText="1"/>
    </xf>
    <xf numFmtId="0" fontId="8" fillId="4" borderId="33" xfId="0" applyFont="1" applyFill="1" applyBorder="1" applyAlignment="1">
      <alignment horizontal="center" vertical="center" wrapText="1"/>
    </xf>
    <xf numFmtId="0" fontId="8" fillId="4" borderId="7" xfId="0" applyFont="1" applyFill="1" applyBorder="1" applyAlignment="1">
      <alignment horizontal="center" vertical="center" wrapText="1"/>
    </xf>
    <xf numFmtId="0" fontId="8" fillId="4" borderId="5" xfId="0" applyFont="1" applyFill="1" applyBorder="1" applyAlignment="1">
      <alignment horizontal="center" vertical="center" wrapText="1"/>
    </xf>
    <xf numFmtId="0" fontId="8" fillId="21" borderId="33" xfId="0" applyFont="1" applyFill="1" applyBorder="1" applyAlignment="1">
      <alignment horizontal="center" vertical="center" wrapText="1"/>
    </xf>
    <xf numFmtId="0" fontId="8" fillId="21" borderId="7" xfId="0" applyFont="1" applyFill="1" applyBorder="1" applyAlignment="1">
      <alignment horizontal="center" vertical="center" wrapText="1"/>
    </xf>
    <xf numFmtId="0" fontId="8" fillId="21" borderId="5" xfId="0" applyFont="1" applyFill="1" applyBorder="1" applyAlignment="1">
      <alignment horizontal="center" vertical="center" wrapText="1"/>
    </xf>
    <xf numFmtId="0" fontId="8" fillId="8" borderId="33" xfId="0" applyFont="1" applyFill="1" applyBorder="1" applyAlignment="1">
      <alignment horizontal="center" vertical="center" wrapText="1"/>
    </xf>
    <xf numFmtId="0" fontId="8" fillId="8" borderId="7" xfId="0" applyFont="1" applyFill="1" applyBorder="1" applyAlignment="1">
      <alignment horizontal="center" vertical="center" wrapText="1"/>
    </xf>
    <xf numFmtId="0" fontId="8" fillId="8" borderId="5" xfId="0" applyFont="1" applyFill="1" applyBorder="1" applyAlignment="1">
      <alignment horizontal="center" vertical="center" wrapText="1"/>
    </xf>
    <xf numFmtId="0" fontId="8" fillId="6" borderId="33" xfId="0" applyFont="1" applyFill="1" applyBorder="1" applyAlignment="1">
      <alignment horizontal="center" vertical="center" wrapText="1"/>
    </xf>
    <xf numFmtId="0" fontId="8" fillId="6" borderId="7" xfId="0" applyFont="1" applyFill="1" applyBorder="1" applyAlignment="1">
      <alignment horizontal="center" vertical="center" wrapText="1"/>
    </xf>
    <xf numFmtId="0" fontId="8" fillId="6" borderId="5" xfId="0" applyFont="1" applyFill="1" applyBorder="1" applyAlignment="1">
      <alignment horizontal="center" vertical="center" wrapText="1"/>
    </xf>
    <xf numFmtId="0" fontId="8" fillId="19" borderId="33" xfId="0" applyFont="1" applyFill="1" applyBorder="1" applyAlignment="1">
      <alignment horizontal="left" vertical="center" wrapText="1"/>
    </xf>
    <xf numFmtId="0" fontId="8" fillId="19" borderId="7" xfId="0" applyFont="1" applyFill="1" applyBorder="1" applyAlignment="1">
      <alignment horizontal="left" vertical="center" wrapText="1"/>
    </xf>
    <xf numFmtId="0" fontId="8" fillId="19" borderId="5" xfId="0" applyFont="1" applyFill="1" applyBorder="1" applyAlignment="1">
      <alignment horizontal="left" vertical="center" wrapText="1"/>
    </xf>
    <xf numFmtId="0" fontId="8" fillId="14" borderId="33" xfId="0" applyFont="1" applyFill="1" applyBorder="1" applyAlignment="1">
      <alignment horizontal="left" vertical="center" wrapText="1"/>
    </xf>
    <xf numFmtId="0" fontId="8" fillId="14" borderId="7" xfId="0" applyFont="1" applyFill="1" applyBorder="1" applyAlignment="1">
      <alignment horizontal="left" vertical="center" wrapText="1"/>
    </xf>
    <xf numFmtId="0" fontId="8" fillId="14" borderId="5" xfId="0" applyFont="1" applyFill="1" applyBorder="1" applyAlignment="1">
      <alignment horizontal="left" vertical="center" wrapText="1"/>
    </xf>
    <xf numFmtId="0" fontId="8" fillId="20" borderId="33" xfId="0" applyFont="1" applyFill="1" applyBorder="1" applyAlignment="1">
      <alignment horizontal="left" vertical="center" wrapText="1"/>
    </xf>
    <xf numFmtId="0" fontId="8" fillId="20" borderId="7" xfId="0" applyFont="1" applyFill="1" applyBorder="1" applyAlignment="1">
      <alignment horizontal="left" vertical="center" wrapText="1"/>
    </xf>
    <xf numFmtId="0" fontId="8" fillId="20" borderId="5" xfId="0" applyFont="1" applyFill="1" applyBorder="1" applyAlignment="1">
      <alignment horizontal="left" vertical="center" wrapText="1"/>
    </xf>
    <xf numFmtId="0" fontId="8" fillId="22" borderId="33" xfId="0" applyFont="1" applyFill="1" applyBorder="1" applyAlignment="1">
      <alignment horizontal="left" vertical="center" wrapText="1"/>
    </xf>
    <xf numFmtId="0" fontId="8" fillId="22" borderId="7" xfId="0" applyFont="1" applyFill="1" applyBorder="1" applyAlignment="1">
      <alignment horizontal="left" vertical="center" wrapText="1"/>
    </xf>
    <xf numFmtId="0" fontId="8" fillId="22" borderId="5" xfId="0" applyFont="1" applyFill="1" applyBorder="1" applyAlignment="1">
      <alignment horizontal="left" vertical="center" wrapText="1"/>
    </xf>
    <xf numFmtId="0" fontId="8" fillId="21" borderId="33" xfId="0" applyFont="1" applyFill="1" applyBorder="1" applyAlignment="1">
      <alignment horizontal="left" vertical="center" wrapText="1"/>
    </xf>
    <xf numFmtId="0" fontId="8" fillId="21" borderId="7" xfId="0" applyFont="1" applyFill="1" applyBorder="1" applyAlignment="1">
      <alignment horizontal="left" vertical="center" wrapText="1"/>
    </xf>
    <xf numFmtId="0" fontId="8" fillId="21" borderId="5" xfId="0" applyFont="1" applyFill="1" applyBorder="1" applyAlignment="1">
      <alignment horizontal="left" vertical="center" wrapText="1"/>
    </xf>
    <xf numFmtId="0" fontId="25" fillId="6" borderId="10" xfId="0" applyFont="1" applyFill="1" applyBorder="1" applyAlignment="1">
      <alignment horizontal="center"/>
    </xf>
    <xf numFmtId="0" fontId="28" fillId="13" borderId="15" xfId="0" applyFont="1" applyFill="1" applyBorder="1" applyAlignment="1">
      <alignment horizontal="center" vertical="center"/>
    </xf>
    <xf numFmtId="0" fontId="28" fillId="13" borderId="16" xfId="0" applyFont="1" applyFill="1" applyBorder="1" applyAlignment="1">
      <alignment horizontal="center" vertical="center"/>
    </xf>
    <xf numFmtId="0" fontId="25" fillId="6" borderId="17" xfId="0" applyFont="1" applyFill="1" applyBorder="1" applyAlignment="1">
      <alignment horizontal="center"/>
    </xf>
    <xf numFmtId="0" fontId="28" fillId="6" borderId="10" xfId="0" applyFont="1" applyFill="1" applyBorder="1" applyAlignment="1">
      <alignment horizontal="center"/>
    </xf>
    <xf numFmtId="0" fontId="31" fillId="6" borderId="11" xfId="0" applyFont="1" applyFill="1" applyBorder="1" applyAlignment="1">
      <alignment horizontal="center" vertical="center"/>
    </xf>
    <xf numFmtId="0" fontId="31" fillId="6" borderId="12" xfId="0" applyFont="1" applyFill="1" applyBorder="1" applyAlignment="1">
      <alignment horizontal="center" vertical="center"/>
    </xf>
    <xf numFmtId="0" fontId="31" fillId="6" borderId="13" xfId="0" applyFont="1" applyFill="1" applyBorder="1" applyAlignment="1">
      <alignment horizontal="center" vertical="center"/>
    </xf>
    <xf numFmtId="0" fontId="25" fillId="23" borderId="10" xfId="0" applyFont="1" applyFill="1" applyBorder="1" applyAlignment="1">
      <alignment horizontal="center" vertical="center"/>
    </xf>
    <xf numFmtId="0" fontId="30" fillId="6" borderId="15" xfId="0" applyFont="1" applyFill="1" applyBorder="1" applyAlignment="1">
      <alignment horizontal="center" vertical="center"/>
    </xf>
    <xf numFmtId="0" fontId="30" fillId="6" borderId="12" xfId="0" applyFont="1" applyFill="1" applyBorder="1" applyAlignment="1">
      <alignment horizontal="center" vertical="center"/>
    </xf>
    <xf numFmtId="0" fontId="30" fillId="6" borderId="16" xfId="0" applyFont="1" applyFill="1" applyBorder="1" applyAlignment="1">
      <alignment horizontal="center" vertical="center"/>
    </xf>
  </cellXfs>
  <cellStyles count="2">
    <cellStyle name="Hyperlink" xfId="1" xr:uid="{00000000-000B-0000-0000-000008000000}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HUAURA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'HOJA RESUMEN '!$B$4</c:f>
              <c:strCache>
                <c:ptCount val="1"/>
                <c:pt idx="0">
                  <c:v>ADMINISTRACIÓN DE EMPRESAS 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cat>
            <c:multiLvlStrRef>
              <c:f>'HOJA RESUMEN '!$C$2:$J$3</c:f>
              <c:multiLvlStrCache>
                <c:ptCount val="8"/>
                <c:lvl>
                  <c:pt idx="0">
                    <c:v>Matriculados</c:v>
                  </c:pt>
                  <c:pt idx="1">
                    <c:v>RETIRADOS
 (POR INASISTENCIA)</c:v>
                  </c:pt>
                  <c:pt idx="2">
                    <c:v>POR OCTDA</c:v>
                  </c:pt>
                  <c:pt idx="3">
                    <c:v>Activos</c:v>
                  </c:pt>
                  <c:pt idx="4">
                    <c:v>% MATRICULADOS</c:v>
                  </c:pt>
                  <c:pt idx="5">
                    <c:v>% NO ASISTENTES</c:v>
                  </c:pt>
                  <c:pt idx="6">
                    <c:v>% OCTDA</c:v>
                  </c:pt>
                  <c:pt idx="7">
                    <c:v>% ACTIVOS</c:v>
                  </c:pt>
                </c:lvl>
                <c:lvl>
                  <c:pt idx="4">
                    <c:v>RESULTADOS DE %</c:v>
                  </c:pt>
                </c:lvl>
              </c:multiLvlStrCache>
            </c:multiLvlStrRef>
          </c:cat>
          <c:val>
            <c:numRef>
              <c:f>'HOJA RESUMEN '!$C$4:$J$4</c:f>
              <c:numCache>
                <c:formatCode>General</c:formatCode>
                <c:ptCount val="8"/>
                <c:pt idx="0">
                  <c:v>31</c:v>
                </c:pt>
                <c:pt idx="1">
                  <c:v>2</c:v>
                </c:pt>
                <c:pt idx="3">
                  <c:v>29</c:v>
                </c:pt>
                <c:pt idx="4" formatCode="0.00%">
                  <c:v>1</c:v>
                </c:pt>
                <c:pt idx="5" formatCode="0.00%">
                  <c:v>6.4516129032258063E-2</c:v>
                </c:pt>
                <c:pt idx="6" formatCode="0.00%">
                  <c:v>0</c:v>
                </c:pt>
                <c:pt idx="7" formatCode="0.00%">
                  <c:v>0.93548387096774188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3FF-414E-855A-AB4BF0CEDA6A}"/>
            </c:ext>
          </c:extLst>
        </c:ser>
        <c:ser>
          <c:idx val="1"/>
          <c:order val="1"/>
          <c:tx>
            <c:strRef>
              <c:f>'HOJA RESUMEN '!$B$5</c:f>
              <c:strCache>
                <c:ptCount val="1"/>
                <c:pt idx="0">
                  <c:v>DERECHO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cat>
            <c:multiLvlStrRef>
              <c:f>'HOJA RESUMEN '!$C$2:$J$3</c:f>
              <c:multiLvlStrCache>
                <c:ptCount val="8"/>
                <c:lvl>
                  <c:pt idx="0">
                    <c:v>Matriculados</c:v>
                  </c:pt>
                  <c:pt idx="1">
                    <c:v>RETIRADOS
 (POR INASISTENCIA)</c:v>
                  </c:pt>
                  <c:pt idx="2">
                    <c:v>POR OCTDA</c:v>
                  </c:pt>
                  <c:pt idx="3">
                    <c:v>Activos</c:v>
                  </c:pt>
                  <c:pt idx="4">
                    <c:v>% MATRICULADOS</c:v>
                  </c:pt>
                  <c:pt idx="5">
                    <c:v>% NO ASISTENTES</c:v>
                  </c:pt>
                  <c:pt idx="6">
                    <c:v>% OCTDA</c:v>
                  </c:pt>
                  <c:pt idx="7">
                    <c:v>% ACTIVOS</c:v>
                  </c:pt>
                </c:lvl>
                <c:lvl>
                  <c:pt idx="4">
                    <c:v>RESULTADOS DE %</c:v>
                  </c:pt>
                </c:lvl>
              </c:multiLvlStrCache>
            </c:multiLvlStrRef>
          </c:cat>
          <c:val>
            <c:numRef>
              <c:f>'HOJA RESUMEN '!$C$5:$J$5</c:f>
              <c:numCache>
                <c:formatCode>General</c:formatCode>
                <c:ptCount val="8"/>
                <c:pt idx="0">
                  <c:v>46</c:v>
                </c:pt>
                <c:pt idx="1">
                  <c:v>7</c:v>
                </c:pt>
                <c:pt idx="2">
                  <c:v>1</c:v>
                </c:pt>
                <c:pt idx="3">
                  <c:v>38</c:v>
                </c:pt>
                <c:pt idx="4" formatCode="0.00%">
                  <c:v>1</c:v>
                </c:pt>
                <c:pt idx="5" formatCode="0.00%">
                  <c:v>0.15217391304347827</c:v>
                </c:pt>
                <c:pt idx="6" formatCode="0.00%">
                  <c:v>2.1739130434782608E-2</c:v>
                </c:pt>
                <c:pt idx="7" formatCode="0.00%">
                  <c:v>0.82608695652173925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3FF-414E-855A-AB4BF0CED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940481032"/>
        <c:axId val="1940483080"/>
      </c:areaChart>
      <c:barChart>
        <c:barDir val="col"/>
        <c:grouping val="clustered"/>
        <c:varyColors val="0"/>
        <c:ser>
          <c:idx val="2"/>
          <c:order val="2"/>
          <c:tx>
            <c:strRef>
              <c:f>'HOJA RESUMEN '!$B$6</c:f>
              <c:strCache>
                <c:ptCount val="1"/>
                <c:pt idx="0">
                  <c:v>ENFERMERIA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multiLvlStrRef>
              <c:f>'HOJA RESUMEN '!$C$2:$J$3</c:f>
              <c:multiLvlStrCache>
                <c:ptCount val="8"/>
                <c:lvl>
                  <c:pt idx="0">
                    <c:v>Matriculados</c:v>
                  </c:pt>
                  <c:pt idx="1">
                    <c:v>RETIRADOS
 (POR INASISTENCIA)</c:v>
                  </c:pt>
                  <c:pt idx="2">
                    <c:v>POR OCTDA</c:v>
                  </c:pt>
                  <c:pt idx="3">
                    <c:v>Activos</c:v>
                  </c:pt>
                  <c:pt idx="4">
                    <c:v>% MATRICULADOS</c:v>
                  </c:pt>
                  <c:pt idx="5">
                    <c:v>% NO ASISTENTES</c:v>
                  </c:pt>
                  <c:pt idx="6">
                    <c:v>% OCTDA</c:v>
                  </c:pt>
                  <c:pt idx="7">
                    <c:v>% ACTIVOS</c:v>
                  </c:pt>
                </c:lvl>
                <c:lvl>
                  <c:pt idx="4">
                    <c:v>RESULTADOS DE %</c:v>
                  </c:pt>
                </c:lvl>
              </c:multiLvlStrCache>
            </c:multiLvlStrRef>
          </c:cat>
          <c:val>
            <c:numRef>
              <c:f>'HOJA RESUMEN '!$C$6:$J$6</c:f>
              <c:numCache>
                <c:formatCode>General</c:formatCode>
                <c:ptCount val="8"/>
                <c:pt idx="0">
                  <c:v>108</c:v>
                </c:pt>
                <c:pt idx="1">
                  <c:v>20</c:v>
                </c:pt>
                <c:pt idx="2">
                  <c:v>2</c:v>
                </c:pt>
                <c:pt idx="3">
                  <c:v>86</c:v>
                </c:pt>
                <c:pt idx="4" formatCode="0.00%">
                  <c:v>1</c:v>
                </c:pt>
                <c:pt idx="5" formatCode="0.00%">
                  <c:v>0.18518518518518517</c:v>
                </c:pt>
                <c:pt idx="6" formatCode="0.00%">
                  <c:v>1.8518518518518517E-2</c:v>
                </c:pt>
                <c:pt idx="7" formatCode="0.00%">
                  <c:v>0.79629629629629617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3FF-414E-855A-AB4BF0CEDA6A}"/>
            </c:ext>
          </c:extLst>
        </c:ser>
        <c:ser>
          <c:idx val="3"/>
          <c:order val="3"/>
          <c:tx>
            <c:strRef>
              <c:f>'HOJA RESUMEN '!$B$7</c:f>
              <c:strCache>
                <c:ptCount val="1"/>
                <c:pt idx="0">
                  <c:v>PSICOLOGIA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multiLvlStrRef>
              <c:f>'HOJA RESUMEN '!$C$2:$J$3</c:f>
              <c:multiLvlStrCache>
                <c:ptCount val="8"/>
                <c:lvl>
                  <c:pt idx="0">
                    <c:v>Matriculados</c:v>
                  </c:pt>
                  <c:pt idx="1">
                    <c:v>RETIRADOS
 (POR INASISTENCIA)</c:v>
                  </c:pt>
                  <c:pt idx="2">
                    <c:v>POR OCTDA</c:v>
                  </c:pt>
                  <c:pt idx="3">
                    <c:v>Activos</c:v>
                  </c:pt>
                  <c:pt idx="4">
                    <c:v>% MATRICULADOS</c:v>
                  </c:pt>
                  <c:pt idx="5">
                    <c:v>% NO ASISTENTES</c:v>
                  </c:pt>
                  <c:pt idx="6">
                    <c:v>% OCTDA</c:v>
                  </c:pt>
                  <c:pt idx="7">
                    <c:v>% ACTIVOS</c:v>
                  </c:pt>
                </c:lvl>
                <c:lvl>
                  <c:pt idx="4">
                    <c:v>RESULTADOS DE %</c:v>
                  </c:pt>
                </c:lvl>
              </c:multiLvlStrCache>
            </c:multiLvlStrRef>
          </c:cat>
          <c:val>
            <c:numRef>
              <c:f>'HOJA RESUMEN '!$C$7:$J$7</c:f>
              <c:numCache>
                <c:formatCode>General</c:formatCode>
                <c:ptCount val="8"/>
                <c:pt idx="0">
                  <c:v>64</c:v>
                </c:pt>
                <c:pt idx="1">
                  <c:v>11</c:v>
                </c:pt>
                <c:pt idx="2">
                  <c:v>1</c:v>
                </c:pt>
                <c:pt idx="3">
                  <c:v>52</c:v>
                </c:pt>
                <c:pt idx="4" formatCode="0.00%">
                  <c:v>1</c:v>
                </c:pt>
                <c:pt idx="5" formatCode="0.00%">
                  <c:v>0.171875</c:v>
                </c:pt>
                <c:pt idx="6" formatCode="0.00%">
                  <c:v>1.5625E-2</c:v>
                </c:pt>
                <c:pt idx="7" formatCode="0.00%">
                  <c:v>0.8125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63FF-414E-855A-AB4BF0CEDA6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40481032"/>
        <c:axId val="1940483080"/>
      </c:barChart>
      <c:catAx>
        <c:axId val="194048103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483080"/>
        <c:crosses val="autoZero"/>
        <c:auto val="1"/>
        <c:lblAlgn val="ctr"/>
        <c:lblOffset val="100"/>
        <c:noMultiLvlLbl val="0"/>
      </c:catAx>
      <c:valAx>
        <c:axId val="194048308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4048103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SEDE - SUNAMPE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'HOJA RESUMEN '!$C$10:$C$11</c:f>
              <c:strCache>
                <c:ptCount val="2"/>
                <c:pt idx="0">
                  <c:v>SEDE  - SUNAMPE</c:v>
                </c:pt>
                <c:pt idx="1">
                  <c:v>Matriculados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'HOJA RESUMEN '!$B$12:$B$23</c:f>
              <c:strCache>
                <c:ptCount val="12"/>
                <c:pt idx="0">
                  <c:v>ADMINISTRACIÓN DE EMPRESAS </c:v>
                </c:pt>
                <c:pt idx="1">
                  <c:v>ARQUITECTURA </c:v>
                </c:pt>
                <c:pt idx="2">
                  <c:v>DERECHO</c:v>
                </c:pt>
                <c:pt idx="3">
                  <c:v>ENFERMERIA</c:v>
                </c:pt>
                <c:pt idx="4">
                  <c:v>INGENIERIA CIVIL</c:v>
                </c:pt>
                <c:pt idx="5">
                  <c:v>INGENIERIA DE SISTEMAS</c:v>
                </c:pt>
                <c:pt idx="6">
                  <c:v>INGENIERIA INDUSTRIAL</c:v>
                </c:pt>
                <c:pt idx="7">
                  <c:v>MEDICINA HUMANA </c:v>
                </c:pt>
                <c:pt idx="8">
                  <c:v>OBSTETRICIA</c:v>
                </c:pt>
                <c:pt idx="9">
                  <c:v>PSICOLOGIA</c:v>
                </c:pt>
                <c:pt idx="10">
                  <c:v>TECNOLOGÍA MÉDICA - ESPECIALIDAD EN TERAPIA FÍSICA Y REHABILITACIÓN</c:v>
                </c:pt>
                <c:pt idx="11">
                  <c:v>TECNOLOGÍA MÉDICA - OPTOMETRÍA</c:v>
                </c:pt>
              </c:strCache>
            </c:strRef>
          </c:cat>
          <c:val>
            <c:numRef>
              <c:f>'HOJA RESUMEN '!$C$12:$C$23</c:f>
              <c:numCache>
                <c:formatCode>General</c:formatCode>
                <c:ptCount val="12"/>
                <c:pt idx="0">
                  <c:v>33</c:v>
                </c:pt>
                <c:pt idx="1">
                  <c:v>13</c:v>
                </c:pt>
                <c:pt idx="2">
                  <c:v>134</c:v>
                </c:pt>
                <c:pt idx="3">
                  <c:v>65</c:v>
                </c:pt>
                <c:pt idx="4">
                  <c:v>21</c:v>
                </c:pt>
                <c:pt idx="5">
                  <c:v>15</c:v>
                </c:pt>
                <c:pt idx="6">
                  <c:v>68</c:v>
                </c:pt>
                <c:pt idx="7">
                  <c:v>22</c:v>
                </c:pt>
                <c:pt idx="8">
                  <c:v>79</c:v>
                </c:pt>
                <c:pt idx="9">
                  <c:v>44</c:v>
                </c:pt>
                <c:pt idx="10">
                  <c:v>11</c:v>
                </c:pt>
                <c:pt idx="11">
                  <c:v>33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58E-4587-B58E-93A6691307E4}"/>
            </c:ext>
          </c:extLst>
        </c:ser>
        <c:ser>
          <c:idx val="1"/>
          <c:order val="1"/>
          <c:tx>
            <c:strRef>
              <c:f>'HOJA RESUMEN '!$D$10:$D$11</c:f>
              <c:strCache>
                <c:ptCount val="2"/>
                <c:pt idx="0">
                  <c:v>SEDE  - SUNAMPE</c:v>
                </c:pt>
                <c:pt idx="1">
                  <c:v>No asisten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'HOJA RESUMEN '!$B$12:$B$23</c:f>
              <c:strCache>
                <c:ptCount val="12"/>
                <c:pt idx="0">
                  <c:v>ADMINISTRACIÓN DE EMPRESAS </c:v>
                </c:pt>
                <c:pt idx="1">
                  <c:v>ARQUITECTURA </c:v>
                </c:pt>
                <c:pt idx="2">
                  <c:v>DERECHO</c:v>
                </c:pt>
                <c:pt idx="3">
                  <c:v>ENFERMERIA</c:v>
                </c:pt>
                <c:pt idx="4">
                  <c:v>INGENIERIA CIVIL</c:v>
                </c:pt>
                <c:pt idx="5">
                  <c:v>INGENIERIA DE SISTEMAS</c:v>
                </c:pt>
                <c:pt idx="6">
                  <c:v>INGENIERIA INDUSTRIAL</c:v>
                </c:pt>
                <c:pt idx="7">
                  <c:v>MEDICINA HUMANA </c:v>
                </c:pt>
                <c:pt idx="8">
                  <c:v>OBSTETRICIA</c:v>
                </c:pt>
                <c:pt idx="9">
                  <c:v>PSICOLOGIA</c:v>
                </c:pt>
                <c:pt idx="10">
                  <c:v>TECNOLOGÍA MÉDICA - ESPECIALIDAD EN TERAPIA FÍSICA Y REHABILITACIÓN</c:v>
                </c:pt>
                <c:pt idx="11">
                  <c:v>TECNOLOGÍA MÉDICA - OPTOMETRÍA</c:v>
                </c:pt>
              </c:strCache>
            </c:strRef>
          </c:cat>
          <c:val>
            <c:numRef>
              <c:f>'HOJA RESUMEN '!$D$12:$D$23</c:f>
              <c:numCache>
                <c:formatCode>General</c:formatCode>
                <c:ptCount val="12"/>
                <c:pt idx="0">
                  <c:v>8</c:v>
                </c:pt>
                <c:pt idx="1">
                  <c:v>4</c:v>
                </c:pt>
                <c:pt idx="2">
                  <c:v>44</c:v>
                </c:pt>
                <c:pt idx="3">
                  <c:v>17</c:v>
                </c:pt>
                <c:pt idx="4">
                  <c:v>4</c:v>
                </c:pt>
                <c:pt idx="5">
                  <c:v>2</c:v>
                </c:pt>
                <c:pt idx="6">
                  <c:v>15</c:v>
                </c:pt>
                <c:pt idx="7">
                  <c:v>3</c:v>
                </c:pt>
                <c:pt idx="8">
                  <c:v>6</c:v>
                </c:pt>
                <c:pt idx="9">
                  <c:v>6</c:v>
                </c:pt>
                <c:pt idx="10">
                  <c:v>1</c:v>
                </c:pt>
                <c:pt idx="11">
                  <c:v>11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058E-4587-B58E-93A6691307E4}"/>
            </c:ext>
          </c:extLst>
        </c:ser>
        <c:ser>
          <c:idx val="2"/>
          <c:order val="2"/>
          <c:tx>
            <c:strRef>
              <c:f>'HOJA RESUMEN '!$F$10:$F$11</c:f>
              <c:strCache>
                <c:ptCount val="2"/>
                <c:pt idx="0">
                  <c:v>SEDE  - SUNAMPE</c:v>
                </c:pt>
                <c:pt idx="1">
                  <c:v>Activos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'HOJA RESUMEN '!$B$12:$B$23</c:f>
              <c:strCache>
                <c:ptCount val="12"/>
                <c:pt idx="0">
                  <c:v>ADMINISTRACIÓN DE EMPRESAS </c:v>
                </c:pt>
                <c:pt idx="1">
                  <c:v>ARQUITECTURA </c:v>
                </c:pt>
                <c:pt idx="2">
                  <c:v>DERECHO</c:v>
                </c:pt>
                <c:pt idx="3">
                  <c:v>ENFERMERIA</c:v>
                </c:pt>
                <c:pt idx="4">
                  <c:v>INGENIERIA CIVIL</c:v>
                </c:pt>
                <c:pt idx="5">
                  <c:v>INGENIERIA DE SISTEMAS</c:v>
                </c:pt>
                <c:pt idx="6">
                  <c:v>INGENIERIA INDUSTRIAL</c:v>
                </c:pt>
                <c:pt idx="7">
                  <c:v>MEDICINA HUMANA </c:v>
                </c:pt>
                <c:pt idx="8">
                  <c:v>OBSTETRICIA</c:v>
                </c:pt>
                <c:pt idx="9">
                  <c:v>PSICOLOGIA</c:v>
                </c:pt>
                <c:pt idx="10">
                  <c:v>TECNOLOGÍA MÉDICA - ESPECIALIDAD EN TERAPIA FÍSICA Y REHABILITACIÓN</c:v>
                </c:pt>
                <c:pt idx="11">
                  <c:v>TECNOLOGÍA MÉDICA - OPTOMETRÍA</c:v>
                </c:pt>
              </c:strCache>
            </c:strRef>
          </c:cat>
          <c:val>
            <c:numRef>
              <c:f>'HOJA RESUMEN '!$F$12:$F$23</c:f>
              <c:numCache>
                <c:formatCode>General</c:formatCode>
                <c:ptCount val="12"/>
                <c:pt idx="0">
                  <c:v>25</c:v>
                </c:pt>
                <c:pt idx="1">
                  <c:v>9</c:v>
                </c:pt>
                <c:pt idx="2">
                  <c:v>90</c:v>
                </c:pt>
                <c:pt idx="3">
                  <c:v>48</c:v>
                </c:pt>
                <c:pt idx="4">
                  <c:v>17</c:v>
                </c:pt>
                <c:pt idx="5">
                  <c:v>13</c:v>
                </c:pt>
                <c:pt idx="6">
                  <c:v>53</c:v>
                </c:pt>
                <c:pt idx="7">
                  <c:v>19</c:v>
                </c:pt>
                <c:pt idx="8">
                  <c:v>73</c:v>
                </c:pt>
                <c:pt idx="9">
                  <c:v>38</c:v>
                </c:pt>
                <c:pt idx="10">
                  <c:v>10</c:v>
                </c:pt>
                <c:pt idx="11">
                  <c:v>20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058E-4587-B58E-93A669130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907965447"/>
        <c:axId val="1907983879"/>
      </c:barChart>
      <c:lineChart>
        <c:grouping val="standard"/>
        <c:varyColors val="0"/>
        <c:ser>
          <c:idx val="3"/>
          <c:order val="3"/>
          <c:tx>
            <c:strRef>
              <c:f>'HOJA RESUMEN '!$G$10:$G$11</c:f>
              <c:strCache>
                <c:ptCount val="2"/>
                <c:pt idx="0">
                  <c:v>RESULTADOS DE %</c:v>
                </c:pt>
                <c:pt idx="1">
                  <c:v>% MATRICULADOS</c:v>
                </c:pt>
              </c:strCache>
            </c:strRef>
          </c:tx>
          <c:spPr>
            <a:ln w="28575" cap="rnd">
              <a:solidFill>
                <a:srgbClr val="9373C0"/>
              </a:solidFill>
              <a:round/>
            </a:ln>
            <a:effectLst/>
          </c:spPr>
          <c:marker>
            <c:symbol val="none"/>
          </c:marker>
          <c:cat>
            <c:strRef>
              <c:f>'HOJA RESUMEN '!$B$12:$B$23</c:f>
              <c:strCache>
                <c:ptCount val="12"/>
                <c:pt idx="0">
                  <c:v>ADMINISTRACIÓN DE EMPRESAS </c:v>
                </c:pt>
                <c:pt idx="1">
                  <c:v>ARQUITECTURA </c:v>
                </c:pt>
                <c:pt idx="2">
                  <c:v>DERECHO</c:v>
                </c:pt>
                <c:pt idx="3">
                  <c:v>ENFERMERIA</c:v>
                </c:pt>
                <c:pt idx="4">
                  <c:v>INGENIERIA CIVIL</c:v>
                </c:pt>
                <c:pt idx="5">
                  <c:v>INGENIERIA DE SISTEMAS</c:v>
                </c:pt>
                <c:pt idx="6">
                  <c:v>INGENIERIA INDUSTRIAL</c:v>
                </c:pt>
                <c:pt idx="7">
                  <c:v>MEDICINA HUMANA </c:v>
                </c:pt>
                <c:pt idx="8">
                  <c:v>OBSTETRICIA</c:v>
                </c:pt>
                <c:pt idx="9">
                  <c:v>PSICOLOGIA</c:v>
                </c:pt>
                <c:pt idx="10">
                  <c:v>TECNOLOGÍA MÉDICA - ESPECIALIDAD EN TERAPIA FÍSICA Y REHABILITACIÓN</c:v>
                </c:pt>
                <c:pt idx="11">
                  <c:v>TECNOLOGÍA MÉDICA - OPTOMETRÍA</c:v>
                </c:pt>
              </c:strCache>
            </c:strRef>
          </c:cat>
          <c:val>
            <c:numRef>
              <c:f>'HOJA RESUMEN '!$G$12:$G$23</c:f>
              <c:numCache>
                <c:formatCode>0.00%</c:formatCode>
                <c:ptCount val="12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058E-4587-B58E-93A6691307E4}"/>
            </c:ext>
          </c:extLst>
        </c:ser>
        <c:ser>
          <c:idx val="4"/>
          <c:order val="4"/>
          <c:tx>
            <c:strRef>
              <c:f>'HOJA RESUMEN '!$H$10:$H$11</c:f>
              <c:strCache>
                <c:ptCount val="2"/>
                <c:pt idx="0">
                  <c:v>RESULTADOS DE %</c:v>
                </c:pt>
                <c:pt idx="1">
                  <c:v>% NO ASISTENTES</c:v>
                </c:pt>
              </c:strCache>
            </c:strRef>
          </c:tx>
          <c:spPr>
            <a:ln w="28575" cap="rnd">
              <a:solidFill>
                <a:srgbClr val="13A10E"/>
              </a:solidFill>
              <a:round/>
            </a:ln>
            <a:effectLst/>
          </c:spPr>
          <c:marker>
            <c:symbol val="none"/>
          </c:marker>
          <c:cat>
            <c:strRef>
              <c:f>'HOJA RESUMEN '!$B$12:$B$23</c:f>
              <c:strCache>
                <c:ptCount val="12"/>
                <c:pt idx="0">
                  <c:v>ADMINISTRACIÓN DE EMPRESAS </c:v>
                </c:pt>
                <c:pt idx="1">
                  <c:v>ARQUITECTURA </c:v>
                </c:pt>
                <c:pt idx="2">
                  <c:v>DERECHO</c:v>
                </c:pt>
                <c:pt idx="3">
                  <c:v>ENFERMERIA</c:v>
                </c:pt>
                <c:pt idx="4">
                  <c:v>INGENIERIA CIVIL</c:v>
                </c:pt>
                <c:pt idx="5">
                  <c:v>INGENIERIA DE SISTEMAS</c:v>
                </c:pt>
                <c:pt idx="6">
                  <c:v>INGENIERIA INDUSTRIAL</c:v>
                </c:pt>
                <c:pt idx="7">
                  <c:v>MEDICINA HUMANA </c:v>
                </c:pt>
                <c:pt idx="8">
                  <c:v>OBSTETRICIA</c:v>
                </c:pt>
                <c:pt idx="9">
                  <c:v>PSICOLOGIA</c:v>
                </c:pt>
                <c:pt idx="10">
                  <c:v>TECNOLOGÍA MÉDICA - ESPECIALIDAD EN TERAPIA FÍSICA Y REHABILITACIÓN</c:v>
                </c:pt>
                <c:pt idx="11">
                  <c:v>TECNOLOGÍA MÉDICA - OPTOMETRÍA</c:v>
                </c:pt>
              </c:strCache>
            </c:strRef>
          </c:cat>
          <c:val>
            <c:numRef>
              <c:f>'HOJA RESUMEN '!$H$12:$H$23</c:f>
              <c:numCache>
                <c:formatCode>0.00%</c:formatCode>
                <c:ptCount val="12"/>
                <c:pt idx="0">
                  <c:v>0.24242424242424243</c:v>
                </c:pt>
                <c:pt idx="1">
                  <c:v>0.30769230769230771</c:v>
                </c:pt>
                <c:pt idx="2">
                  <c:v>0.32835820895522388</c:v>
                </c:pt>
                <c:pt idx="3">
                  <c:v>0.26153846153846155</c:v>
                </c:pt>
                <c:pt idx="4">
                  <c:v>0.19047619047619047</c:v>
                </c:pt>
                <c:pt idx="5">
                  <c:v>0.13333333333333333</c:v>
                </c:pt>
                <c:pt idx="6">
                  <c:v>0.22058823529411764</c:v>
                </c:pt>
                <c:pt idx="7">
                  <c:v>0.13636363636363635</c:v>
                </c:pt>
                <c:pt idx="8">
                  <c:v>7.5949367088607597E-2</c:v>
                </c:pt>
                <c:pt idx="9">
                  <c:v>0.13636363636363635</c:v>
                </c:pt>
                <c:pt idx="10">
                  <c:v>9.0909090909090912E-2</c:v>
                </c:pt>
                <c:pt idx="11">
                  <c:v>0.33333333333333331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058E-4587-B58E-93A6691307E4}"/>
            </c:ext>
          </c:extLst>
        </c:ser>
        <c:ser>
          <c:idx val="5"/>
          <c:order val="5"/>
          <c:tx>
            <c:strRef>
              <c:f>'HOJA RESUMEN '!$J$10:$J$11</c:f>
              <c:strCache>
                <c:ptCount val="2"/>
                <c:pt idx="0">
                  <c:v>RESULTADOS DE %</c:v>
                </c:pt>
                <c:pt idx="1">
                  <c:v>% ACTIVOS</c:v>
                </c:pt>
              </c:strCache>
            </c:strRef>
          </c:tx>
          <c:spPr>
            <a:ln w="28575" cap="rnd">
              <a:solidFill>
                <a:srgbClr val="3A96DD"/>
              </a:solidFill>
              <a:round/>
            </a:ln>
            <a:effectLst/>
          </c:spPr>
          <c:marker>
            <c:symbol val="none"/>
          </c:marker>
          <c:cat>
            <c:strRef>
              <c:f>'HOJA RESUMEN '!$B$12:$B$23</c:f>
              <c:strCache>
                <c:ptCount val="12"/>
                <c:pt idx="0">
                  <c:v>ADMINISTRACIÓN DE EMPRESAS </c:v>
                </c:pt>
                <c:pt idx="1">
                  <c:v>ARQUITECTURA </c:v>
                </c:pt>
                <c:pt idx="2">
                  <c:v>DERECHO</c:v>
                </c:pt>
                <c:pt idx="3">
                  <c:v>ENFERMERIA</c:v>
                </c:pt>
                <c:pt idx="4">
                  <c:v>INGENIERIA CIVIL</c:v>
                </c:pt>
                <c:pt idx="5">
                  <c:v>INGENIERIA DE SISTEMAS</c:v>
                </c:pt>
                <c:pt idx="6">
                  <c:v>INGENIERIA INDUSTRIAL</c:v>
                </c:pt>
                <c:pt idx="7">
                  <c:v>MEDICINA HUMANA </c:v>
                </c:pt>
                <c:pt idx="8">
                  <c:v>OBSTETRICIA</c:v>
                </c:pt>
                <c:pt idx="9">
                  <c:v>PSICOLOGIA</c:v>
                </c:pt>
                <c:pt idx="10">
                  <c:v>TECNOLOGÍA MÉDICA - ESPECIALIDAD EN TERAPIA FÍSICA Y REHABILITACIÓN</c:v>
                </c:pt>
                <c:pt idx="11">
                  <c:v>TECNOLOGÍA MÉDICA - OPTOMETRÍA</c:v>
                </c:pt>
              </c:strCache>
            </c:strRef>
          </c:cat>
          <c:val>
            <c:numRef>
              <c:f>'HOJA RESUMEN '!$J$12:$J$23</c:f>
              <c:numCache>
                <c:formatCode>0.00%</c:formatCode>
                <c:ptCount val="12"/>
                <c:pt idx="0">
                  <c:v>0.75757575757575757</c:v>
                </c:pt>
                <c:pt idx="1">
                  <c:v>0.69230769230769229</c:v>
                </c:pt>
                <c:pt idx="2">
                  <c:v>0.67164179104477606</c:v>
                </c:pt>
                <c:pt idx="3">
                  <c:v>0.7384615384615385</c:v>
                </c:pt>
                <c:pt idx="4">
                  <c:v>0.80952380952380953</c:v>
                </c:pt>
                <c:pt idx="5">
                  <c:v>0.8666666666666667</c:v>
                </c:pt>
                <c:pt idx="6">
                  <c:v>0.77941176470588225</c:v>
                </c:pt>
                <c:pt idx="7">
                  <c:v>0.86363636363636354</c:v>
                </c:pt>
                <c:pt idx="8">
                  <c:v>0.92405063291139233</c:v>
                </c:pt>
                <c:pt idx="9">
                  <c:v>0.86363636363636354</c:v>
                </c:pt>
                <c:pt idx="10">
                  <c:v>0.90909090909090917</c:v>
                </c:pt>
                <c:pt idx="11">
                  <c:v>0.60606060606060597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058E-4587-B58E-93A6691307E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907965447"/>
        <c:axId val="1907983879"/>
      </c:lineChart>
      <c:catAx>
        <c:axId val="190796544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983879"/>
        <c:crosses val="autoZero"/>
        <c:auto val="1"/>
        <c:lblAlgn val="ctr"/>
        <c:lblOffset val="100"/>
        <c:noMultiLvlLbl val="0"/>
      </c:catAx>
      <c:valAx>
        <c:axId val="190798387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90796544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FILIAL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'HOJA RESUMEN '!$C$25:$C$26</c:f>
              <c:strCache>
                <c:ptCount val="2"/>
                <c:pt idx="0">
                  <c:v>FILIAL</c:v>
                </c:pt>
                <c:pt idx="1">
                  <c:v>Matriculados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'HOJA RESUMEN '!$B$27:$B$34</c:f>
              <c:strCache>
                <c:ptCount val="8"/>
                <c:pt idx="0">
                  <c:v>CONTABILIDAD</c:v>
                </c:pt>
                <c:pt idx="1">
                  <c:v>DERECHO</c:v>
                </c:pt>
                <c:pt idx="2">
                  <c:v>ENFERMERIA</c:v>
                </c:pt>
                <c:pt idx="3">
                  <c:v>INGENIERIA CIVIL</c:v>
                </c:pt>
                <c:pt idx="4">
                  <c:v>MEDICINA HUMANA </c:v>
                </c:pt>
                <c:pt idx="5">
                  <c:v>OBSTETRICIA</c:v>
                </c:pt>
                <c:pt idx="6">
                  <c:v>PSICOLOGIA</c:v>
                </c:pt>
                <c:pt idx="7">
                  <c:v>TECNOLOGÍA MÉDICA - ESPECIALIDAD EN TERAPIA FÍSICA Y REHABILITACIÓN</c:v>
                </c:pt>
              </c:strCache>
            </c:strRef>
          </c:cat>
          <c:val>
            <c:numRef>
              <c:f>'HOJA RESUMEN '!$C$27:$C$34</c:f>
              <c:numCache>
                <c:formatCode>General</c:formatCode>
                <c:ptCount val="8"/>
                <c:pt idx="0">
                  <c:v>14</c:v>
                </c:pt>
                <c:pt idx="1">
                  <c:v>22</c:v>
                </c:pt>
                <c:pt idx="2">
                  <c:v>61</c:v>
                </c:pt>
                <c:pt idx="3">
                  <c:v>10</c:v>
                </c:pt>
                <c:pt idx="4">
                  <c:v>54</c:v>
                </c:pt>
                <c:pt idx="5">
                  <c:v>27</c:v>
                </c:pt>
                <c:pt idx="6">
                  <c:v>28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88A-443A-B4B9-786422F114B8}"/>
            </c:ext>
          </c:extLst>
        </c:ser>
        <c:ser>
          <c:idx val="1"/>
          <c:order val="1"/>
          <c:tx>
            <c:strRef>
              <c:f>'HOJA RESUMEN '!$D$25:$D$26</c:f>
              <c:strCache>
                <c:ptCount val="2"/>
                <c:pt idx="0">
                  <c:v>FILIAL</c:v>
                </c:pt>
                <c:pt idx="1">
                  <c:v>No asisten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'HOJA RESUMEN '!$B$27:$B$34</c:f>
              <c:strCache>
                <c:ptCount val="8"/>
                <c:pt idx="0">
                  <c:v>CONTABILIDAD</c:v>
                </c:pt>
                <c:pt idx="1">
                  <c:v>DERECHO</c:v>
                </c:pt>
                <c:pt idx="2">
                  <c:v>ENFERMERIA</c:v>
                </c:pt>
                <c:pt idx="3">
                  <c:v>INGENIERIA CIVIL</c:v>
                </c:pt>
                <c:pt idx="4">
                  <c:v>MEDICINA HUMANA </c:v>
                </c:pt>
                <c:pt idx="5">
                  <c:v>OBSTETRICIA</c:v>
                </c:pt>
                <c:pt idx="6">
                  <c:v>PSICOLOGIA</c:v>
                </c:pt>
                <c:pt idx="7">
                  <c:v>TECNOLOGÍA MÉDICA - ESPECIALIDAD EN TERAPIA FÍSICA Y REHABILITACIÓN</c:v>
                </c:pt>
              </c:strCache>
            </c:strRef>
          </c:cat>
          <c:val>
            <c:numRef>
              <c:f>'HOJA RESUMEN '!$D$27:$D$34</c:f>
              <c:numCache>
                <c:formatCode>General</c:formatCode>
                <c:ptCount val="8"/>
                <c:pt idx="0">
                  <c:v>11</c:v>
                </c:pt>
                <c:pt idx="1">
                  <c:v>10</c:v>
                </c:pt>
                <c:pt idx="2">
                  <c:v>13</c:v>
                </c:pt>
                <c:pt idx="3">
                  <c:v>8</c:v>
                </c:pt>
                <c:pt idx="4">
                  <c:v>9</c:v>
                </c:pt>
                <c:pt idx="5">
                  <c:v>14</c:v>
                </c:pt>
                <c:pt idx="6">
                  <c:v>4</c:v>
                </c:pt>
                <c:pt idx="7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688A-443A-B4B9-786422F114B8}"/>
            </c:ext>
          </c:extLst>
        </c:ser>
        <c:ser>
          <c:idx val="2"/>
          <c:order val="2"/>
          <c:tx>
            <c:strRef>
              <c:f>'HOJA RESUMEN '!$F$25:$F$26</c:f>
              <c:strCache>
                <c:ptCount val="2"/>
                <c:pt idx="0">
                  <c:v>FILIAL</c:v>
                </c:pt>
                <c:pt idx="1">
                  <c:v>Activos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'HOJA RESUMEN '!$B$27:$B$34</c:f>
              <c:strCache>
                <c:ptCount val="8"/>
                <c:pt idx="0">
                  <c:v>CONTABILIDAD</c:v>
                </c:pt>
                <c:pt idx="1">
                  <c:v>DERECHO</c:v>
                </c:pt>
                <c:pt idx="2">
                  <c:v>ENFERMERIA</c:v>
                </c:pt>
                <c:pt idx="3">
                  <c:v>INGENIERIA CIVIL</c:v>
                </c:pt>
                <c:pt idx="4">
                  <c:v>MEDICINA HUMANA </c:v>
                </c:pt>
                <c:pt idx="5">
                  <c:v>OBSTETRICIA</c:v>
                </c:pt>
                <c:pt idx="6">
                  <c:v>PSICOLOGIA</c:v>
                </c:pt>
                <c:pt idx="7">
                  <c:v>TECNOLOGÍA MÉDICA - ESPECIALIDAD EN TERAPIA FÍSICA Y REHABILITACIÓN</c:v>
                </c:pt>
              </c:strCache>
            </c:strRef>
          </c:cat>
          <c:val>
            <c:numRef>
              <c:f>'HOJA RESUMEN '!$F$27:$F$34</c:f>
              <c:numCache>
                <c:formatCode>General</c:formatCode>
                <c:ptCount val="8"/>
                <c:pt idx="0">
                  <c:v>3</c:v>
                </c:pt>
                <c:pt idx="1">
                  <c:v>12</c:v>
                </c:pt>
                <c:pt idx="2">
                  <c:v>48</c:v>
                </c:pt>
                <c:pt idx="3">
                  <c:v>2</c:v>
                </c:pt>
                <c:pt idx="4">
                  <c:v>43</c:v>
                </c:pt>
                <c:pt idx="5">
                  <c:v>12</c:v>
                </c:pt>
                <c:pt idx="6">
                  <c:v>24</c:v>
                </c:pt>
                <c:pt idx="7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688A-443A-B4B9-786422F11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822187528"/>
        <c:axId val="1822189576"/>
      </c:barChart>
      <c:lineChart>
        <c:grouping val="standard"/>
        <c:varyColors val="0"/>
        <c:ser>
          <c:idx val="3"/>
          <c:order val="3"/>
          <c:tx>
            <c:strRef>
              <c:f>'HOJA RESUMEN '!$G$25:$G$26</c:f>
              <c:strCache>
                <c:ptCount val="2"/>
                <c:pt idx="0">
                  <c:v>RESULTADOS DE %</c:v>
                </c:pt>
                <c:pt idx="1">
                  <c:v>% MATRICULADOS</c:v>
                </c:pt>
              </c:strCache>
            </c:strRef>
          </c:tx>
          <c:spPr>
            <a:ln w="28575" cap="rnd">
              <a:solidFill>
                <a:srgbClr val="9373C0"/>
              </a:solidFill>
              <a:round/>
            </a:ln>
            <a:effectLst/>
          </c:spPr>
          <c:marker>
            <c:symbol val="none"/>
          </c:marker>
          <c:cat>
            <c:strRef>
              <c:f>'HOJA RESUMEN '!$B$27:$B$34</c:f>
              <c:strCache>
                <c:ptCount val="8"/>
                <c:pt idx="0">
                  <c:v>CONTABILIDAD</c:v>
                </c:pt>
                <c:pt idx="1">
                  <c:v>DERECHO</c:v>
                </c:pt>
                <c:pt idx="2">
                  <c:v>ENFERMERIA</c:v>
                </c:pt>
                <c:pt idx="3">
                  <c:v>INGENIERIA CIVIL</c:v>
                </c:pt>
                <c:pt idx="4">
                  <c:v>MEDICINA HUMANA </c:v>
                </c:pt>
                <c:pt idx="5">
                  <c:v>OBSTETRICIA</c:v>
                </c:pt>
                <c:pt idx="6">
                  <c:v>PSICOLOGIA</c:v>
                </c:pt>
                <c:pt idx="7">
                  <c:v>TECNOLOGÍA MÉDICA - ESPECIALIDAD EN TERAPIA FÍSICA Y REHABILITACIÓN</c:v>
                </c:pt>
              </c:strCache>
            </c:strRef>
          </c:cat>
          <c:val>
            <c:numRef>
              <c:f>'HOJA RESUMEN '!$G$27:$G$34</c:f>
              <c:numCache>
                <c:formatCode>0.00%</c:formatCode>
                <c:ptCount val="8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688A-443A-B4B9-786422F114B8}"/>
            </c:ext>
          </c:extLst>
        </c:ser>
        <c:ser>
          <c:idx val="4"/>
          <c:order val="4"/>
          <c:tx>
            <c:strRef>
              <c:f>'HOJA RESUMEN '!$H$25:$H$26</c:f>
              <c:strCache>
                <c:ptCount val="2"/>
                <c:pt idx="0">
                  <c:v>RESULTADOS DE %</c:v>
                </c:pt>
                <c:pt idx="1">
                  <c:v>% NO ASISTENTES</c:v>
                </c:pt>
              </c:strCache>
            </c:strRef>
          </c:tx>
          <c:spPr>
            <a:ln w="28575" cap="rnd">
              <a:solidFill>
                <a:srgbClr val="13A10E"/>
              </a:solidFill>
              <a:round/>
            </a:ln>
            <a:effectLst/>
          </c:spPr>
          <c:marker>
            <c:symbol val="none"/>
          </c:marker>
          <c:cat>
            <c:strRef>
              <c:f>'HOJA RESUMEN '!$B$27:$B$34</c:f>
              <c:strCache>
                <c:ptCount val="8"/>
                <c:pt idx="0">
                  <c:v>CONTABILIDAD</c:v>
                </c:pt>
                <c:pt idx="1">
                  <c:v>DERECHO</c:v>
                </c:pt>
                <c:pt idx="2">
                  <c:v>ENFERMERIA</c:v>
                </c:pt>
                <c:pt idx="3">
                  <c:v>INGENIERIA CIVIL</c:v>
                </c:pt>
                <c:pt idx="4">
                  <c:v>MEDICINA HUMANA </c:v>
                </c:pt>
                <c:pt idx="5">
                  <c:v>OBSTETRICIA</c:v>
                </c:pt>
                <c:pt idx="6">
                  <c:v>PSICOLOGIA</c:v>
                </c:pt>
                <c:pt idx="7">
                  <c:v>TECNOLOGÍA MÉDICA - ESPECIALIDAD EN TERAPIA FÍSICA Y REHABILITACIÓN</c:v>
                </c:pt>
              </c:strCache>
            </c:strRef>
          </c:cat>
          <c:val>
            <c:numRef>
              <c:f>'HOJA RESUMEN '!$H$27:$H$34</c:f>
              <c:numCache>
                <c:formatCode>0.00%</c:formatCode>
                <c:ptCount val="8"/>
                <c:pt idx="0">
                  <c:v>0.7857142857142857</c:v>
                </c:pt>
                <c:pt idx="1">
                  <c:v>0.45454545454545453</c:v>
                </c:pt>
                <c:pt idx="2">
                  <c:v>0.21311475409836064</c:v>
                </c:pt>
                <c:pt idx="3">
                  <c:v>0.8</c:v>
                </c:pt>
                <c:pt idx="4">
                  <c:v>0.16666666666666666</c:v>
                </c:pt>
                <c:pt idx="5">
                  <c:v>0.51851851851851849</c:v>
                </c:pt>
                <c:pt idx="6">
                  <c:v>0.14285714285714285</c:v>
                </c:pt>
                <c:pt idx="7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688A-443A-B4B9-786422F114B8}"/>
            </c:ext>
          </c:extLst>
        </c:ser>
        <c:ser>
          <c:idx val="5"/>
          <c:order val="5"/>
          <c:tx>
            <c:strRef>
              <c:f>'HOJA RESUMEN '!$J$25:$J$26</c:f>
              <c:strCache>
                <c:ptCount val="2"/>
                <c:pt idx="0">
                  <c:v>RESULTADOS DE %</c:v>
                </c:pt>
                <c:pt idx="1">
                  <c:v>% ACTIVOS</c:v>
                </c:pt>
              </c:strCache>
            </c:strRef>
          </c:tx>
          <c:spPr>
            <a:ln w="28575" cap="rnd">
              <a:solidFill>
                <a:srgbClr val="3A96DD"/>
              </a:solidFill>
              <a:round/>
            </a:ln>
            <a:effectLst/>
          </c:spPr>
          <c:marker>
            <c:symbol val="none"/>
          </c:marker>
          <c:cat>
            <c:strRef>
              <c:f>'HOJA RESUMEN '!$B$27:$B$34</c:f>
              <c:strCache>
                <c:ptCount val="8"/>
                <c:pt idx="0">
                  <c:v>CONTABILIDAD</c:v>
                </c:pt>
                <c:pt idx="1">
                  <c:v>DERECHO</c:v>
                </c:pt>
                <c:pt idx="2">
                  <c:v>ENFERMERIA</c:v>
                </c:pt>
                <c:pt idx="3">
                  <c:v>INGENIERIA CIVIL</c:v>
                </c:pt>
                <c:pt idx="4">
                  <c:v>MEDICINA HUMANA </c:v>
                </c:pt>
                <c:pt idx="5">
                  <c:v>OBSTETRICIA</c:v>
                </c:pt>
                <c:pt idx="6">
                  <c:v>PSICOLOGIA</c:v>
                </c:pt>
                <c:pt idx="7">
                  <c:v>TECNOLOGÍA MÉDICA - ESPECIALIDAD EN TERAPIA FÍSICA Y REHABILITACIÓN</c:v>
                </c:pt>
              </c:strCache>
            </c:strRef>
          </c:cat>
          <c:val>
            <c:numRef>
              <c:f>'HOJA RESUMEN '!$J$27:$J$34</c:f>
              <c:numCache>
                <c:formatCode>0.00%</c:formatCode>
                <c:ptCount val="8"/>
                <c:pt idx="0">
                  <c:v>0.21428571428571427</c:v>
                </c:pt>
                <c:pt idx="1">
                  <c:v>0.54545454545454541</c:v>
                </c:pt>
                <c:pt idx="2">
                  <c:v>0.78688524590163933</c:v>
                </c:pt>
                <c:pt idx="3">
                  <c:v>0.2</c:v>
                </c:pt>
                <c:pt idx="4">
                  <c:v>0.79629629629629628</c:v>
                </c:pt>
                <c:pt idx="5">
                  <c:v>0.44444444444444442</c:v>
                </c:pt>
                <c:pt idx="6">
                  <c:v>0.8571428571428571</c:v>
                </c:pt>
                <c:pt idx="7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688A-443A-B4B9-786422F114B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822187528"/>
        <c:axId val="1822189576"/>
      </c:lineChart>
      <c:catAx>
        <c:axId val="182218752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189576"/>
        <c:crosses val="autoZero"/>
        <c:auto val="1"/>
        <c:lblAlgn val="ctr"/>
        <c:lblOffset val="100"/>
        <c:noMultiLvlLbl val="0"/>
      </c:catAx>
      <c:valAx>
        <c:axId val="182218957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82218752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SEDE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'HOJA RESUMEN '!$C$39</c:f>
              <c:strCache>
                <c:ptCount val="1"/>
                <c:pt idx="0">
                  <c:v>Matriculados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strRef>
              <c:f>'HOJA RESUMEN '!$B$40:$B$52</c:f>
              <c:strCache>
                <c:ptCount val="13"/>
                <c:pt idx="0">
                  <c:v>ADMINISTRACIÓN DE EMPRESAS </c:v>
                </c:pt>
                <c:pt idx="1">
                  <c:v>ARQUITECTURA </c:v>
                </c:pt>
                <c:pt idx="2">
                  <c:v>DERECHO</c:v>
                </c:pt>
                <c:pt idx="3">
                  <c:v>ENFERMERIA</c:v>
                </c:pt>
                <c:pt idx="4">
                  <c:v>INGENIERIA CIVIL</c:v>
                </c:pt>
                <c:pt idx="5">
                  <c:v>INGENIERIA DE SISTEMAS</c:v>
                </c:pt>
                <c:pt idx="6">
                  <c:v>INGENIERIA INDUSTRIAL</c:v>
                </c:pt>
                <c:pt idx="7">
                  <c:v>MEDICINA HUMANA </c:v>
                </c:pt>
                <c:pt idx="8">
                  <c:v>OBSTETRICIA</c:v>
                </c:pt>
                <c:pt idx="9">
                  <c:v>PSICOLOGIA</c:v>
                </c:pt>
                <c:pt idx="10">
                  <c:v>TECNOLOGÍA MÉDICA - ESPECIALIDAD EN LABORATORIO CLINICO Y ANATOMÍA PATOLÓGICA</c:v>
                </c:pt>
                <c:pt idx="11">
                  <c:v>TECNOLOGÍA MÉDICA - ESPECIALIDAD EN TERAPIA FÍSICA Y REHABILITACIÓN</c:v>
                </c:pt>
                <c:pt idx="12">
                  <c:v>TECNOLOGÍA MÉDICA - OPTOMETRÍA</c:v>
                </c:pt>
              </c:strCache>
            </c:strRef>
          </c:cat>
          <c:val>
            <c:numRef>
              <c:f>'HOJA RESUMEN '!$C$40:$C$52</c:f>
              <c:numCache>
                <c:formatCode>General</c:formatCode>
                <c:ptCount val="13"/>
                <c:pt idx="0">
                  <c:v>57</c:v>
                </c:pt>
                <c:pt idx="1">
                  <c:v>36</c:v>
                </c:pt>
                <c:pt idx="2">
                  <c:v>96</c:v>
                </c:pt>
                <c:pt idx="3">
                  <c:v>273</c:v>
                </c:pt>
                <c:pt idx="4">
                  <c:v>41</c:v>
                </c:pt>
                <c:pt idx="5">
                  <c:v>55</c:v>
                </c:pt>
                <c:pt idx="6">
                  <c:v>159</c:v>
                </c:pt>
                <c:pt idx="7">
                  <c:v>52</c:v>
                </c:pt>
                <c:pt idx="8">
                  <c:v>116</c:v>
                </c:pt>
                <c:pt idx="9">
                  <c:v>66</c:v>
                </c:pt>
                <c:pt idx="10">
                  <c:v>17</c:v>
                </c:pt>
                <c:pt idx="11">
                  <c:v>14</c:v>
                </c:pt>
                <c:pt idx="12">
                  <c:v>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398-4D47-AACF-1DD07B798B66}"/>
            </c:ext>
          </c:extLst>
        </c:ser>
        <c:ser>
          <c:idx val="1"/>
          <c:order val="1"/>
          <c:tx>
            <c:strRef>
              <c:f>'HOJA RESUMEN '!$D$39</c:f>
              <c:strCache>
                <c:ptCount val="1"/>
                <c:pt idx="0">
                  <c:v>No asisten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strRef>
              <c:f>'HOJA RESUMEN '!$B$40:$B$52</c:f>
              <c:strCache>
                <c:ptCount val="13"/>
                <c:pt idx="0">
                  <c:v>ADMINISTRACIÓN DE EMPRESAS </c:v>
                </c:pt>
                <c:pt idx="1">
                  <c:v>ARQUITECTURA </c:v>
                </c:pt>
                <c:pt idx="2">
                  <c:v>DERECHO</c:v>
                </c:pt>
                <c:pt idx="3">
                  <c:v>ENFERMERIA</c:v>
                </c:pt>
                <c:pt idx="4">
                  <c:v>INGENIERIA CIVIL</c:v>
                </c:pt>
                <c:pt idx="5">
                  <c:v>INGENIERIA DE SISTEMAS</c:v>
                </c:pt>
                <c:pt idx="6">
                  <c:v>INGENIERIA INDUSTRIAL</c:v>
                </c:pt>
                <c:pt idx="7">
                  <c:v>MEDICINA HUMANA </c:v>
                </c:pt>
                <c:pt idx="8">
                  <c:v>OBSTETRICIA</c:v>
                </c:pt>
                <c:pt idx="9">
                  <c:v>PSICOLOGIA</c:v>
                </c:pt>
                <c:pt idx="10">
                  <c:v>TECNOLOGÍA MÉDICA - ESPECIALIDAD EN LABORATORIO CLINICO Y ANATOMÍA PATOLÓGICA</c:v>
                </c:pt>
                <c:pt idx="11">
                  <c:v>TECNOLOGÍA MÉDICA - ESPECIALIDAD EN TERAPIA FÍSICA Y REHABILITACIÓN</c:v>
                </c:pt>
                <c:pt idx="12">
                  <c:v>TECNOLOGÍA MÉDICA - OPTOMETRÍA</c:v>
                </c:pt>
              </c:strCache>
            </c:strRef>
          </c:cat>
          <c:val>
            <c:numRef>
              <c:f>'HOJA RESUMEN '!$D$40:$D$52</c:f>
              <c:numCache>
                <c:formatCode>General</c:formatCode>
                <c:ptCount val="13"/>
                <c:pt idx="0">
                  <c:v>3</c:v>
                </c:pt>
                <c:pt idx="1">
                  <c:v>2</c:v>
                </c:pt>
                <c:pt idx="2">
                  <c:v>2</c:v>
                </c:pt>
                <c:pt idx="3">
                  <c:v>1</c:v>
                </c:pt>
                <c:pt idx="4">
                  <c:v>2</c:v>
                </c:pt>
                <c:pt idx="5">
                  <c:v>0</c:v>
                </c:pt>
                <c:pt idx="6">
                  <c:v>6</c:v>
                </c:pt>
                <c:pt idx="7">
                  <c:v>3</c:v>
                </c:pt>
                <c:pt idx="8">
                  <c:v>6</c:v>
                </c:pt>
                <c:pt idx="9">
                  <c:v>4</c:v>
                </c:pt>
                <c:pt idx="10">
                  <c:v>0</c:v>
                </c:pt>
                <c:pt idx="11">
                  <c:v>1</c:v>
                </c:pt>
                <c:pt idx="12">
                  <c:v>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398-4D47-AACF-1DD07B798B66}"/>
            </c:ext>
          </c:extLst>
        </c:ser>
        <c:ser>
          <c:idx val="2"/>
          <c:order val="2"/>
          <c:tx>
            <c:strRef>
              <c:f>'HOJA RESUMEN '!$F$39</c:f>
              <c:strCache>
                <c:ptCount val="1"/>
                <c:pt idx="0">
                  <c:v>Activos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strRef>
              <c:f>'HOJA RESUMEN '!$B$40:$B$52</c:f>
              <c:strCache>
                <c:ptCount val="13"/>
                <c:pt idx="0">
                  <c:v>ADMINISTRACIÓN DE EMPRESAS </c:v>
                </c:pt>
                <c:pt idx="1">
                  <c:v>ARQUITECTURA </c:v>
                </c:pt>
                <c:pt idx="2">
                  <c:v>DERECHO</c:v>
                </c:pt>
                <c:pt idx="3">
                  <c:v>ENFERMERIA</c:v>
                </c:pt>
                <c:pt idx="4">
                  <c:v>INGENIERIA CIVIL</c:v>
                </c:pt>
                <c:pt idx="5">
                  <c:v>INGENIERIA DE SISTEMAS</c:v>
                </c:pt>
                <c:pt idx="6">
                  <c:v>INGENIERIA INDUSTRIAL</c:v>
                </c:pt>
                <c:pt idx="7">
                  <c:v>MEDICINA HUMANA </c:v>
                </c:pt>
                <c:pt idx="8">
                  <c:v>OBSTETRICIA</c:v>
                </c:pt>
                <c:pt idx="9">
                  <c:v>PSICOLOGIA</c:v>
                </c:pt>
                <c:pt idx="10">
                  <c:v>TECNOLOGÍA MÉDICA - ESPECIALIDAD EN LABORATORIO CLINICO Y ANATOMÍA PATOLÓGICA</c:v>
                </c:pt>
                <c:pt idx="11">
                  <c:v>TECNOLOGÍA MÉDICA - ESPECIALIDAD EN TERAPIA FÍSICA Y REHABILITACIÓN</c:v>
                </c:pt>
                <c:pt idx="12">
                  <c:v>TECNOLOGÍA MÉDICA - OPTOMETRÍA</c:v>
                </c:pt>
              </c:strCache>
            </c:strRef>
          </c:cat>
          <c:val>
            <c:numRef>
              <c:f>'HOJA RESUMEN '!$F$40:$F$52</c:f>
              <c:numCache>
                <c:formatCode>General</c:formatCode>
                <c:ptCount val="13"/>
                <c:pt idx="0">
                  <c:v>53</c:v>
                </c:pt>
                <c:pt idx="1">
                  <c:v>34</c:v>
                </c:pt>
                <c:pt idx="2">
                  <c:v>93</c:v>
                </c:pt>
                <c:pt idx="3">
                  <c:v>272</c:v>
                </c:pt>
                <c:pt idx="4">
                  <c:v>39</c:v>
                </c:pt>
                <c:pt idx="5">
                  <c:v>55</c:v>
                </c:pt>
                <c:pt idx="6">
                  <c:v>153</c:v>
                </c:pt>
                <c:pt idx="7">
                  <c:v>49</c:v>
                </c:pt>
                <c:pt idx="8">
                  <c:v>110</c:v>
                </c:pt>
                <c:pt idx="9">
                  <c:v>62</c:v>
                </c:pt>
                <c:pt idx="10">
                  <c:v>17</c:v>
                </c:pt>
                <c:pt idx="11">
                  <c:v>13</c:v>
                </c:pt>
                <c:pt idx="12">
                  <c:v>101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E398-4D47-AACF-1DD07B798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205263879"/>
        <c:axId val="205266439"/>
      </c:barChart>
      <c:lineChart>
        <c:grouping val="standard"/>
        <c:varyColors val="0"/>
        <c:ser>
          <c:idx val="3"/>
          <c:order val="3"/>
          <c:tx>
            <c:strRef>
              <c:f>'HOJA RESUMEN '!$G$39</c:f>
              <c:strCache>
                <c:ptCount val="1"/>
                <c:pt idx="0">
                  <c:v>% MATRICULADOS</c:v>
                </c:pt>
              </c:strCache>
            </c:strRef>
          </c:tx>
          <c:spPr>
            <a:ln w="28575" cap="rnd">
              <a:solidFill>
                <a:srgbClr val="9373C0"/>
              </a:solidFill>
              <a:round/>
            </a:ln>
            <a:effectLst/>
          </c:spPr>
          <c:marker>
            <c:symbol val="none"/>
          </c:marker>
          <c:cat>
            <c:strRef>
              <c:f>'HOJA RESUMEN '!$B$40:$B$52</c:f>
              <c:strCache>
                <c:ptCount val="13"/>
                <c:pt idx="0">
                  <c:v>ADMINISTRACIÓN DE EMPRESAS </c:v>
                </c:pt>
                <c:pt idx="1">
                  <c:v>ARQUITECTURA </c:v>
                </c:pt>
                <c:pt idx="2">
                  <c:v>DERECHO</c:v>
                </c:pt>
                <c:pt idx="3">
                  <c:v>ENFERMERIA</c:v>
                </c:pt>
                <c:pt idx="4">
                  <c:v>INGENIERIA CIVIL</c:v>
                </c:pt>
                <c:pt idx="5">
                  <c:v>INGENIERIA DE SISTEMAS</c:v>
                </c:pt>
                <c:pt idx="6">
                  <c:v>INGENIERIA INDUSTRIAL</c:v>
                </c:pt>
                <c:pt idx="7">
                  <c:v>MEDICINA HUMANA </c:v>
                </c:pt>
                <c:pt idx="8">
                  <c:v>OBSTETRICIA</c:v>
                </c:pt>
                <c:pt idx="9">
                  <c:v>PSICOLOGIA</c:v>
                </c:pt>
                <c:pt idx="10">
                  <c:v>TECNOLOGÍA MÉDICA - ESPECIALIDAD EN LABORATORIO CLINICO Y ANATOMÍA PATOLÓGICA</c:v>
                </c:pt>
                <c:pt idx="11">
                  <c:v>TECNOLOGÍA MÉDICA - ESPECIALIDAD EN TERAPIA FÍSICA Y REHABILITACIÓN</c:v>
                </c:pt>
                <c:pt idx="12">
                  <c:v>TECNOLOGÍA MÉDICA - OPTOMETRÍA</c:v>
                </c:pt>
              </c:strCache>
            </c:strRef>
          </c:cat>
          <c:val>
            <c:numRef>
              <c:f>'HOJA RESUMEN '!$G$40:$G$52</c:f>
              <c:numCache>
                <c:formatCode>0.00%</c:formatCode>
                <c:ptCount val="13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  <c:pt idx="10">
                  <c:v>1</c:v>
                </c:pt>
                <c:pt idx="11">
                  <c:v>1</c:v>
                </c:pt>
                <c:pt idx="12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E398-4D47-AACF-1DD07B798B66}"/>
            </c:ext>
          </c:extLst>
        </c:ser>
        <c:ser>
          <c:idx val="4"/>
          <c:order val="4"/>
          <c:tx>
            <c:strRef>
              <c:f>'HOJA RESUMEN '!$H$39</c:f>
              <c:strCache>
                <c:ptCount val="1"/>
                <c:pt idx="0">
                  <c:v>% NO ASISTENTES</c:v>
                </c:pt>
              </c:strCache>
            </c:strRef>
          </c:tx>
          <c:spPr>
            <a:ln w="28575" cap="rnd">
              <a:solidFill>
                <a:srgbClr val="13A10E"/>
              </a:solidFill>
              <a:round/>
            </a:ln>
            <a:effectLst/>
          </c:spPr>
          <c:marker>
            <c:symbol val="none"/>
          </c:marker>
          <c:cat>
            <c:strRef>
              <c:f>'HOJA RESUMEN '!$B$40:$B$52</c:f>
              <c:strCache>
                <c:ptCount val="13"/>
                <c:pt idx="0">
                  <c:v>ADMINISTRACIÓN DE EMPRESAS </c:v>
                </c:pt>
                <c:pt idx="1">
                  <c:v>ARQUITECTURA </c:v>
                </c:pt>
                <c:pt idx="2">
                  <c:v>DERECHO</c:v>
                </c:pt>
                <c:pt idx="3">
                  <c:v>ENFERMERIA</c:v>
                </c:pt>
                <c:pt idx="4">
                  <c:v>INGENIERIA CIVIL</c:v>
                </c:pt>
                <c:pt idx="5">
                  <c:v>INGENIERIA DE SISTEMAS</c:v>
                </c:pt>
                <c:pt idx="6">
                  <c:v>INGENIERIA INDUSTRIAL</c:v>
                </c:pt>
                <c:pt idx="7">
                  <c:v>MEDICINA HUMANA </c:v>
                </c:pt>
                <c:pt idx="8">
                  <c:v>OBSTETRICIA</c:v>
                </c:pt>
                <c:pt idx="9">
                  <c:v>PSICOLOGIA</c:v>
                </c:pt>
                <c:pt idx="10">
                  <c:v>TECNOLOGÍA MÉDICA - ESPECIALIDAD EN LABORATORIO CLINICO Y ANATOMÍA PATOLÓGICA</c:v>
                </c:pt>
                <c:pt idx="11">
                  <c:v>TECNOLOGÍA MÉDICA - ESPECIALIDAD EN TERAPIA FÍSICA Y REHABILITACIÓN</c:v>
                </c:pt>
                <c:pt idx="12">
                  <c:v>TECNOLOGÍA MÉDICA - OPTOMETRÍA</c:v>
                </c:pt>
              </c:strCache>
            </c:strRef>
          </c:cat>
          <c:val>
            <c:numRef>
              <c:f>'HOJA RESUMEN '!$H$40:$H$52</c:f>
              <c:numCache>
                <c:formatCode>0.00%</c:formatCode>
                <c:ptCount val="13"/>
                <c:pt idx="0">
                  <c:v>5.2631578947368418E-2</c:v>
                </c:pt>
                <c:pt idx="1">
                  <c:v>5.5555555555555552E-2</c:v>
                </c:pt>
                <c:pt idx="2">
                  <c:v>2.0833333333333332E-2</c:v>
                </c:pt>
                <c:pt idx="3">
                  <c:v>3.663003663003663E-3</c:v>
                </c:pt>
                <c:pt idx="4">
                  <c:v>4.878048780487805E-2</c:v>
                </c:pt>
                <c:pt idx="5">
                  <c:v>0</c:v>
                </c:pt>
                <c:pt idx="6">
                  <c:v>3.7735849056603772E-2</c:v>
                </c:pt>
                <c:pt idx="7">
                  <c:v>5.7692307692307696E-2</c:v>
                </c:pt>
                <c:pt idx="8">
                  <c:v>5.1724137931034482E-2</c:v>
                </c:pt>
                <c:pt idx="9">
                  <c:v>6.0606060606060608E-2</c:v>
                </c:pt>
                <c:pt idx="10">
                  <c:v>0</c:v>
                </c:pt>
                <c:pt idx="11">
                  <c:v>7.1428571428571425E-2</c:v>
                </c:pt>
                <c:pt idx="12">
                  <c:v>2.8846153846153848E-2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8-E398-4D47-AACF-1DD07B798B66}"/>
            </c:ext>
          </c:extLst>
        </c:ser>
        <c:ser>
          <c:idx val="5"/>
          <c:order val="5"/>
          <c:tx>
            <c:strRef>
              <c:f>'HOJA RESUMEN '!$J$39</c:f>
              <c:strCache>
                <c:ptCount val="1"/>
                <c:pt idx="0">
                  <c:v>% ACTIVOS</c:v>
                </c:pt>
              </c:strCache>
            </c:strRef>
          </c:tx>
          <c:spPr>
            <a:ln w="28575" cap="rnd">
              <a:solidFill>
                <a:srgbClr val="3A96DD"/>
              </a:solidFill>
              <a:round/>
            </a:ln>
            <a:effectLst/>
          </c:spPr>
          <c:marker>
            <c:symbol val="none"/>
          </c:marker>
          <c:cat>
            <c:strRef>
              <c:f>'HOJA RESUMEN '!$B$40:$B$52</c:f>
              <c:strCache>
                <c:ptCount val="13"/>
                <c:pt idx="0">
                  <c:v>ADMINISTRACIÓN DE EMPRESAS </c:v>
                </c:pt>
                <c:pt idx="1">
                  <c:v>ARQUITECTURA </c:v>
                </c:pt>
                <c:pt idx="2">
                  <c:v>DERECHO</c:v>
                </c:pt>
                <c:pt idx="3">
                  <c:v>ENFERMERIA</c:v>
                </c:pt>
                <c:pt idx="4">
                  <c:v>INGENIERIA CIVIL</c:v>
                </c:pt>
                <c:pt idx="5">
                  <c:v>INGENIERIA DE SISTEMAS</c:v>
                </c:pt>
                <c:pt idx="6">
                  <c:v>INGENIERIA INDUSTRIAL</c:v>
                </c:pt>
                <c:pt idx="7">
                  <c:v>MEDICINA HUMANA </c:v>
                </c:pt>
                <c:pt idx="8">
                  <c:v>OBSTETRICIA</c:v>
                </c:pt>
                <c:pt idx="9">
                  <c:v>PSICOLOGIA</c:v>
                </c:pt>
                <c:pt idx="10">
                  <c:v>TECNOLOGÍA MÉDICA - ESPECIALIDAD EN LABORATORIO CLINICO Y ANATOMÍA PATOLÓGICA</c:v>
                </c:pt>
                <c:pt idx="11">
                  <c:v>TECNOLOGÍA MÉDICA - ESPECIALIDAD EN TERAPIA FÍSICA Y REHABILITACIÓN</c:v>
                </c:pt>
                <c:pt idx="12">
                  <c:v>TECNOLOGÍA MÉDICA - OPTOMETRÍA</c:v>
                </c:pt>
              </c:strCache>
            </c:strRef>
          </c:cat>
          <c:val>
            <c:numRef>
              <c:f>'HOJA RESUMEN '!$J$40:$J$52</c:f>
              <c:numCache>
                <c:formatCode>0.00%</c:formatCode>
                <c:ptCount val="13"/>
                <c:pt idx="0">
                  <c:v>0.92982456140350878</c:v>
                </c:pt>
                <c:pt idx="1">
                  <c:v>0.94444444444444442</c:v>
                </c:pt>
                <c:pt idx="2">
                  <c:v>0.96875</c:v>
                </c:pt>
                <c:pt idx="3">
                  <c:v>0.99633699633699635</c:v>
                </c:pt>
                <c:pt idx="4">
                  <c:v>0.95121951219512202</c:v>
                </c:pt>
                <c:pt idx="5">
                  <c:v>0</c:v>
                </c:pt>
                <c:pt idx="6">
                  <c:v>0.96226415094339623</c:v>
                </c:pt>
                <c:pt idx="7">
                  <c:v>0.94230769230769229</c:v>
                </c:pt>
                <c:pt idx="8">
                  <c:v>0.94827586206896541</c:v>
                </c:pt>
                <c:pt idx="9">
                  <c:v>0.93939393939393945</c:v>
                </c:pt>
                <c:pt idx="10">
                  <c:v>1</c:v>
                </c:pt>
                <c:pt idx="11">
                  <c:v>0.92857142857142849</c:v>
                </c:pt>
                <c:pt idx="12">
                  <c:v>0.97115384615384615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A-E398-4D47-AACF-1DD07B798B6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205263879"/>
        <c:axId val="205266439"/>
      </c:lineChart>
      <c:catAx>
        <c:axId val="20526387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66439"/>
        <c:crosses val="autoZero"/>
        <c:auto val="1"/>
        <c:lblAlgn val="ctr"/>
        <c:lblOffset val="100"/>
        <c:noMultiLvlLbl val="0"/>
      </c:catAx>
      <c:valAx>
        <c:axId val="205266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526387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HUAURA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standard"/>
        <c:varyColors val="0"/>
        <c:ser>
          <c:idx val="0"/>
          <c:order val="0"/>
          <c:tx>
            <c:strRef>
              <c:f>'HOJA RESUMEN '!$B$56</c:f>
              <c:strCache>
                <c:ptCount val="1"/>
                <c:pt idx="0">
                  <c:v>ADMINISTRACIÓN DE EMPRESAS 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cat>
            <c:multiLvlStrRef>
              <c:f>'HOJA RESUMEN '!$C$54:$J$55</c:f>
              <c:multiLvlStrCache>
                <c:ptCount val="8"/>
                <c:lvl>
                  <c:pt idx="0">
                    <c:v>Matriculados</c:v>
                  </c:pt>
                  <c:pt idx="1">
                    <c:v>No asisten</c:v>
                  </c:pt>
                  <c:pt idx="2">
                    <c:v>POR OCTDA</c:v>
                  </c:pt>
                  <c:pt idx="3">
                    <c:v>Activos</c:v>
                  </c:pt>
                  <c:pt idx="4">
                    <c:v>% MATRICULADOS</c:v>
                  </c:pt>
                  <c:pt idx="5">
                    <c:v>% NO ASISTENTES</c:v>
                  </c:pt>
                  <c:pt idx="6">
                    <c:v>% OCTDA</c:v>
                  </c:pt>
                  <c:pt idx="7">
                    <c:v>% ACTIVOS</c:v>
                  </c:pt>
                </c:lvl>
                <c:lvl>
                  <c:pt idx="4">
                    <c:v>RESULTADOS DE %</c:v>
                  </c:pt>
                </c:lvl>
              </c:multiLvlStrCache>
            </c:multiLvlStrRef>
          </c:cat>
          <c:val>
            <c:numRef>
              <c:f>'HOJA RESUMEN '!$C$56:$J$56</c:f>
              <c:numCache>
                <c:formatCode>General</c:formatCode>
                <c:ptCount val="8"/>
                <c:pt idx="0">
                  <c:v>26</c:v>
                </c:pt>
                <c:pt idx="1">
                  <c:v>1</c:v>
                </c:pt>
                <c:pt idx="3">
                  <c:v>25</c:v>
                </c:pt>
                <c:pt idx="4" formatCode="0.00%">
                  <c:v>1</c:v>
                </c:pt>
                <c:pt idx="5" formatCode="0.00%">
                  <c:v>3.8461538461538464E-2</c:v>
                </c:pt>
                <c:pt idx="6" formatCode="0.00%">
                  <c:v>0</c:v>
                </c:pt>
                <c:pt idx="7" formatCode="0.00%">
                  <c:v>0.96153846153846156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554-44DF-B437-8E498569BC9F}"/>
            </c:ext>
          </c:extLst>
        </c:ser>
        <c:ser>
          <c:idx val="1"/>
          <c:order val="1"/>
          <c:tx>
            <c:strRef>
              <c:f>'HOJA RESUMEN '!$B$57</c:f>
              <c:strCache>
                <c:ptCount val="1"/>
                <c:pt idx="0">
                  <c:v>DERECHO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cat>
            <c:multiLvlStrRef>
              <c:f>'HOJA RESUMEN '!$C$54:$J$55</c:f>
              <c:multiLvlStrCache>
                <c:ptCount val="8"/>
                <c:lvl>
                  <c:pt idx="0">
                    <c:v>Matriculados</c:v>
                  </c:pt>
                  <c:pt idx="1">
                    <c:v>No asisten</c:v>
                  </c:pt>
                  <c:pt idx="2">
                    <c:v>POR OCTDA</c:v>
                  </c:pt>
                  <c:pt idx="3">
                    <c:v>Activos</c:v>
                  </c:pt>
                  <c:pt idx="4">
                    <c:v>% MATRICULADOS</c:v>
                  </c:pt>
                  <c:pt idx="5">
                    <c:v>% NO ASISTENTES</c:v>
                  </c:pt>
                  <c:pt idx="6">
                    <c:v>% OCTDA</c:v>
                  </c:pt>
                  <c:pt idx="7">
                    <c:v>% ACTIVOS</c:v>
                  </c:pt>
                </c:lvl>
                <c:lvl>
                  <c:pt idx="4">
                    <c:v>RESULTADOS DE %</c:v>
                  </c:pt>
                </c:lvl>
              </c:multiLvlStrCache>
            </c:multiLvlStrRef>
          </c:cat>
          <c:val>
            <c:numRef>
              <c:f>'HOJA RESUMEN '!$C$57:$J$57</c:f>
              <c:numCache>
                <c:formatCode>General</c:formatCode>
                <c:ptCount val="8"/>
                <c:pt idx="0">
                  <c:v>78</c:v>
                </c:pt>
                <c:pt idx="1">
                  <c:v>4</c:v>
                </c:pt>
                <c:pt idx="3">
                  <c:v>74</c:v>
                </c:pt>
                <c:pt idx="4" formatCode="0.00%">
                  <c:v>1</c:v>
                </c:pt>
                <c:pt idx="5" formatCode="0.00%">
                  <c:v>5.128205128205128E-2</c:v>
                </c:pt>
                <c:pt idx="6" formatCode="0.00%">
                  <c:v>0</c:v>
                </c:pt>
                <c:pt idx="7" formatCode="0.00%">
                  <c:v>0.94871794871794868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554-44DF-B437-8E498569B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369615368"/>
        <c:axId val="369617416"/>
      </c:areaChart>
      <c:barChart>
        <c:barDir val="col"/>
        <c:grouping val="clustered"/>
        <c:varyColors val="0"/>
        <c:ser>
          <c:idx val="2"/>
          <c:order val="2"/>
          <c:tx>
            <c:strRef>
              <c:f>'HOJA RESUMEN '!$B$58</c:f>
              <c:strCache>
                <c:ptCount val="1"/>
                <c:pt idx="0">
                  <c:v>ENFERMERIA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invertIfNegative val="0"/>
          <c:cat>
            <c:multiLvlStrRef>
              <c:f>'HOJA RESUMEN '!$C$54:$J$55</c:f>
              <c:multiLvlStrCache>
                <c:ptCount val="8"/>
                <c:lvl>
                  <c:pt idx="0">
                    <c:v>Matriculados</c:v>
                  </c:pt>
                  <c:pt idx="1">
                    <c:v>No asisten</c:v>
                  </c:pt>
                  <c:pt idx="2">
                    <c:v>POR OCTDA</c:v>
                  </c:pt>
                  <c:pt idx="3">
                    <c:v>Activos</c:v>
                  </c:pt>
                  <c:pt idx="4">
                    <c:v>% MATRICULADOS</c:v>
                  </c:pt>
                  <c:pt idx="5">
                    <c:v>% NO ASISTENTES</c:v>
                  </c:pt>
                  <c:pt idx="6">
                    <c:v>% OCTDA</c:v>
                  </c:pt>
                  <c:pt idx="7">
                    <c:v>% ACTIVOS</c:v>
                  </c:pt>
                </c:lvl>
                <c:lvl>
                  <c:pt idx="4">
                    <c:v>RESULTADOS DE %</c:v>
                  </c:pt>
                </c:lvl>
              </c:multiLvlStrCache>
            </c:multiLvlStrRef>
          </c:cat>
          <c:val>
            <c:numRef>
              <c:f>'HOJA RESUMEN '!$C$58:$J$58</c:f>
              <c:numCache>
                <c:formatCode>General</c:formatCode>
                <c:ptCount val="8"/>
                <c:pt idx="0">
                  <c:v>136</c:v>
                </c:pt>
                <c:pt idx="1">
                  <c:v>4</c:v>
                </c:pt>
                <c:pt idx="3">
                  <c:v>132</c:v>
                </c:pt>
                <c:pt idx="4" formatCode="0.00%">
                  <c:v>1</c:v>
                </c:pt>
                <c:pt idx="5" formatCode="0.00%">
                  <c:v>2.9411764705882353E-2</c:v>
                </c:pt>
                <c:pt idx="6" formatCode="0.00%">
                  <c:v>0</c:v>
                </c:pt>
                <c:pt idx="7" formatCode="0.00%">
                  <c:v>0.97058823529411764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554-44DF-B437-8E498569BC9F}"/>
            </c:ext>
          </c:extLst>
        </c:ser>
        <c:ser>
          <c:idx val="3"/>
          <c:order val="3"/>
          <c:tx>
            <c:strRef>
              <c:f>'HOJA RESUMEN '!$B$59</c:f>
              <c:strCache>
                <c:ptCount val="1"/>
                <c:pt idx="0">
                  <c:v>PSICOLOGIA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invertIfNegative val="0"/>
          <c:cat>
            <c:multiLvlStrRef>
              <c:f>'HOJA RESUMEN '!$C$54:$J$55</c:f>
              <c:multiLvlStrCache>
                <c:ptCount val="8"/>
                <c:lvl>
                  <c:pt idx="0">
                    <c:v>Matriculados</c:v>
                  </c:pt>
                  <c:pt idx="1">
                    <c:v>No asisten</c:v>
                  </c:pt>
                  <c:pt idx="2">
                    <c:v>POR OCTDA</c:v>
                  </c:pt>
                  <c:pt idx="3">
                    <c:v>Activos</c:v>
                  </c:pt>
                  <c:pt idx="4">
                    <c:v>% MATRICULADOS</c:v>
                  </c:pt>
                  <c:pt idx="5">
                    <c:v>% NO ASISTENTES</c:v>
                  </c:pt>
                  <c:pt idx="6">
                    <c:v>% OCTDA</c:v>
                  </c:pt>
                  <c:pt idx="7">
                    <c:v>% ACTIVOS</c:v>
                  </c:pt>
                </c:lvl>
                <c:lvl>
                  <c:pt idx="4">
                    <c:v>RESULTADOS DE %</c:v>
                  </c:pt>
                </c:lvl>
              </c:multiLvlStrCache>
            </c:multiLvlStrRef>
          </c:cat>
          <c:val>
            <c:numRef>
              <c:f>'HOJA RESUMEN '!$C$59:$J$59</c:f>
              <c:numCache>
                <c:formatCode>General</c:formatCode>
                <c:ptCount val="8"/>
                <c:pt idx="0">
                  <c:v>95</c:v>
                </c:pt>
                <c:pt idx="1">
                  <c:v>8</c:v>
                </c:pt>
                <c:pt idx="3">
                  <c:v>87</c:v>
                </c:pt>
                <c:pt idx="4" formatCode="0.00%">
                  <c:v>1</c:v>
                </c:pt>
                <c:pt idx="5" formatCode="0.00%">
                  <c:v>8.4210526315789472E-2</c:v>
                </c:pt>
                <c:pt idx="6" formatCode="0.00%">
                  <c:v>0</c:v>
                </c:pt>
                <c:pt idx="7" formatCode="0.00%">
                  <c:v>0.91578947368421049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554-44DF-B437-8E498569BC9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369615368"/>
        <c:axId val="369617416"/>
      </c:barChart>
      <c:catAx>
        <c:axId val="3696153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617416"/>
        <c:crosses val="autoZero"/>
        <c:auto val="1"/>
        <c:lblAlgn val="ctr"/>
        <c:lblOffset val="100"/>
        <c:noMultiLvlLbl val="0"/>
      </c:catAx>
      <c:valAx>
        <c:axId val="36961741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36961536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FILIAL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areaChart>
        <c:grouping val="percentStacked"/>
        <c:varyColors val="0"/>
        <c:ser>
          <c:idx val="0"/>
          <c:order val="0"/>
          <c:tx>
            <c:strRef>
              <c:f>'HOJA RESUMEN '!$C$62:$C$63</c:f>
              <c:strCache>
                <c:ptCount val="2"/>
                <c:pt idx="0">
                  <c:v>FILIAL</c:v>
                </c:pt>
                <c:pt idx="1">
                  <c:v>Matriculados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cat>
            <c:strRef>
              <c:f>'HOJA RESUMEN '!$B$64:$B$73</c:f>
              <c:strCache>
                <c:ptCount val="10"/>
                <c:pt idx="0">
                  <c:v>CONTABILIDAD</c:v>
                </c:pt>
                <c:pt idx="1">
                  <c:v>DERECHO</c:v>
                </c:pt>
                <c:pt idx="2">
                  <c:v>ENFERMERIA</c:v>
                </c:pt>
                <c:pt idx="3">
                  <c:v>INGENIERIA CIVIL</c:v>
                </c:pt>
                <c:pt idx="4">
                  <c:v>INGENIERIA INDUSTRIAL</c:v>
                </c:pt>
                <c:pt idx="5">
                  <c:v>MEDICINA HUMANA </c:v>
                </c:pt>
                <c:pt idx="6">
                  <c:v>OBSTETRICIA</c:v>
                </c:pt>
                <c:pt idx="7">
                  <c:v>PSICOLOGIA</c:v>
                </c:pt>
                <c:pt idx="8">
                  <c:v>TECNOLOGÍA MÉDICA - ESPECIALIDAD EN LABORATORIO CLINICO Y ANATOMÍA PATOLÓGICA</c:v>
                </c:pt>
                <c:pt idx="9">
                  <c:v>TECNOLOGÍA MÉDICA - ESPECIALIDAD EN TERAPIA FÍSICA Y REHABILITACIÓN</c:v>
                </c:pt>
              </c:strCache>
            </c:strRef>
          </c:cat>
          <c:val>
            <c:numRef>
              <c:f>'HOJA RESUMEN '!$C$64:$C$73</c:f>
              <c:numCache>
                <c:formatCode>General</c:formatCode>
                <c:ptCount val="10"/>
                <c:pt idx="0">
                  <c:v>10</c:v>
                </c:pt>
                <c:pt idx="1">
                  <c:v>32</c:v>
                </c:pt>
                <c:pt idx="2">
                  <c:v>135</c:v>
                </c:pt>
                <c:pt idx="3">
                  <c:v>17</c:v>
                </c:pt>
                <c:pt idx="4">
                  <c:v>17</c:v>
                </c:pt>
                <c:pt idx="5">
                  <c:v>160</c:v>
                </c:pt>
                <c:pt idx="6">
                  <c:v>51</c:v>
                </c:pt>
                <c:pt idx="7">
                  <c:v>56</c:v>
                </c:pt>
                <c:pt idx="8">
                  <c:v>8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059-4CA6-82F5-706B90CFDA35}"/>
            </c:ext>
          </c:extLst>
        </c:ser>
        <c:ser>
          <c:idx val="1"/>
          <c:order val="1"/>
          <c:tx>
            <c:strRef>
              <c:f>'HOJA RESUMEN '!$D$62:$D$63</c:f>
              <c:strCache>
                <c:ptCount val="2"/>
                <c:pt idx="0">
                  <c:v>FILIAL</c:v>
                </c:pt>
                <c:pt idx="1">
                  <c:v>No asisten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cat>
            <c:strRef>
              <c:f>'HOJA RESUMEN '!$B$64:$B$73</c:f>
              <c:strCache>
                <c:ptCount val="10"/>
                <c:pt idx="0">
                  <c:v>CONTABILIDAD</c:v>
                </c:pt>
                <c:pt idx="1">
                  <c:v>DERECHO</c:v>
                </c:pt>
                <c:pt idx="2">
                  <c:v>ENFERMERIA</c:v>
                </c:pt>
                <c:pt idx="3">
                  <c:v>INGENIERIA CIVIL</c:v>
                </c:pt>
                <c:pt idx="4">
                  <c:v>INGENIERIA INDUSTRIAL</c:v>
                </c:pt>
                <c:pt idx="5">
                  <c:v>MEDICINA HUMANA </c:v>
                </c:pt>
                <c:pt idx="6">
                  <c:v>OBSTETRICIA</c:v>
                </c:pt>
                <c:pt idx="7">
                  <c:v>PSICOLOGIA</c:v>
                </c:pt>
                <c:pt idx="8">
                  <c:v>TECNOLOGÍA MÉDICA - ESPECIALIDAD EN LABORATORIO CLINICO Y ANATOMÍA PATOLÓGICA</c:v>
                </c:pt>
                <c:pt idx="9">
                  <c:v>TECNOLOGÍA MÉDICA - ESPECIALIDAD EN TERAPIA FÍSICA Y REHABILITACIÓN</c:v>
                </c:pt>
              </c:strCache>
            </c:strRef>
          </c:cat>
          <c:val>
            <c:numRef>
              <c:f>'HOJA RESUMEN '!$D$64:$D$73</c:f>
              <c:numCache>
                <c:formatCode>General</c:formatCode>
                <c:ptCount val="10"/>
                <c:pt idx="0">
                  <c:v>0</c:v>
                </c:pt>
                <c:pt idx="1">
                  <c:v>1</c:v>
                </c:pt>
                <c:pt idx="2">
                  <c:v>5</c:v>
                </c:pt>
                <c:pt idx="3">
                  <c:v>0</c:v>
                </c:pt>
                <c:pt idx="4">
                  <c:v>0</c:v>
                </c:pt>
                <c:pt idx="5">
                  <c:v>1</c:v>
                </c:pt>
                <c:pt idx="6">
                  <c:v>3</c:v>
                </c:pt>
                <c:pt idx="7">
                  <c:v>3</c:v>
                </c:pt>
                <c:pt idx="8">
                  <c:v>1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B059-4CA6-82F5-706B90CFDA35}"/>
            </c:ext>
          </c:extLst>
        </c:ser>
        <c:ser>
          <c:idx val="2"/>
          <c:order val="2"/>
          <c:tx>
            <c:strRef>
              <c:f>'HOJA RESUMEN '!$F$62:$F$63</c:f>
              <c:strCache>
                <c:ptCount val="2"/>
                <c:pt idx="0">
                  <c:v>FILIAL</c:v>
                </c:pt>
                <c:pt idx="1">
                  <c:v>Activos</c:v>
                </c:pt>
              </c:strCache>
            </c:strRef>
          </c:tx>
          <c:spPr>
            <a:solidFill>
              <a:srgbClr val="2AA0A4"/>
            </a:solidFill>
            <a:ln>
              <a:noFill/>
            </a:ln>
            <a:effectLst/>
          </c:spPr>
          <c:cat>
            <c:strRef>
              <c:f>'HOJA RESUMEN '!$B$64:$B$73</c:f>
              <c:strCache>
                <c:ptCount val="10"/>
                <c:pt idx="0">
                  <c:v>CONTABILIDAD</c:v>
                </c:pt>
                <c:pt idx="1">
                  <c:v>DERECHO</c:v>
                </c:pt>
                <c:pt idx="2">
                  <c:v>ENFERMERIA</c:v>
                </c:pt>
                <c:pt idx="3">
                  <c:v>INGENIERIA CIVIL</c:v>
                </c:pt>
                <c:pt idx="4">
                  <c:v>INGENIERIA INDUSTRIAL</c:v>
                </c:pt>
                <c:pt idx="5">
                  <c:v>MEDICINA HUMANA </c:v>
                </c:pt>
                <c:pt idx="6">
                  <c:v>OBSTETRICIA</c:v>
                </c:pt>
                <c:pt idx="7">
                  <c:v>PSICOLOGIA</c:v>
                </c:pt>
                <c:pt idx="8">
                  <c:v>TECNOLOGÍA MÉDICA - ESPECIALIDAD EN LABORATORIO CLINICO Y ANATOMÍA PATOLÓGICA</c:v>
                </c:pt>
                <c:pt idx="9">
                  <c:v>TECNOLOGÍA MÉDICA - ESPECIALIDAD EN TERAPIA FÍSICA Y REHABILITACIÓN</c:v>
                </c:pt>
              </c:strCache>
            </c:strRef>
          </c:cat>
          <c:val>
            <c:numRef>
              <c:f>'HOJA RESUMEN '!$F$64:$F$73</c:f>
              <c:numCache>
                <c:formatCode>General</c:formatCode>
                <c:ptCount val="10"/>
                <c:pt idx="0">
                  <c:v>10</c:v>
                </c:pt>
                <c:pt idx="1">
                  <c:v>31</c:v>
                </c:pt>
                <c:pt idx="2">
                  <c:v>129</c:v>
                </c:pt>
                <c:pt idx="3">
                  <c:v>17</c:v>
                </c:pt>
                <c:pt idx="4">
                  <c:v>17</c:v>
                </c:pt>
                <c:pt idx="5">
                  <c:v>158</c:v>
                </c:pt>
                <c:pt idx="6">
                  <c:v>48</c:v>
                </c:pt>
                <c:pt idx="7">
                  <c:v>53</c:v>
                </c:pt>
                <c:pt idx="8">
                  <c:v>7</c:v>
                </c:pt>
                <c:pt idx="9">
                  <c:v>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B059-4CA6-82F5-706B90CFDA35}"/>
            </c:ext>
          </c:extLst>
        </c:ser>
        <c:ser>
          <c:idx val="3"/>
          <c:order val="3"/>
          <c:tx>
            <c:strRef>
              <c:f>'HOJA RESUMEN '!$G$62:$G$63</c:f>
              <c:strCache>
                <c:ptCount val="2"/>
                <c:pt idx="0">
                  <c:v>RESULTADOS DE %</c:v>
                </c:pt>
                <c:pt idx="1">
                  <c:v>% MATRICULADOS</c:v>
                </c:pt>
              </c:strCache>
            </c:strRef>
          </c:tx>
          <c:spPr>
            <a:solidFill>
              <a:srgbClr val="9373C0"/>
            </a:solidFill>
            <a:ln>
              <a:noFill/>
            </a:ln>
            <a:effectLst/>
          </c:spPr>
          <c:cat>
            <c:strRef>
              <c:f>'HOJA RESUMEN '!$B$64:$B$73</c:f>
              <c:strCache>
                <c:ptCount val="10"/>
                <c:pt idx="0">
                  <c:v>CONTABILIDAD</c:v>
                </c:pt>
                <c:pt idx="1">
                  <c:v>DERECHO</c:v>
                </c:pt>
                <c:pt idx="2">
                  <c:v>ENFERMERIA</c:v>
                </c:pt>
                <c:pt idx="3">
                  <c:v>INGENIERIA CIVIL</c:v>
                </c:pt>
                <c:pt idx="4">
                  <c:v>INGENIERIA INDUSTRIAL</c:v>
                </c:pt>
                <c:pt idx="5">
                  <c:v>MEDICINA HUMANA </c:v>
                </c:pt>
                <c:pt idx="6">
                  <c:v>OBSTETRICIA</c:v>
                </c:pt>
                <c:pt idx="7">
                  <c:v>PSICOLOGIA</c:v>
                </c:pt>
                <c:pt idx="8">
                  <c:v>TECNOLOGÍA MÉDICA - ESPECIALIDAD EN LABORATORIO CLINICO Y ANATOMÍA PATOLÓGICA</c:v>
                </c:pt>
                <c:pt idx="9">
                  <c:v>TECNOLOGÍA MÉDICA - ESPECIALIDAD EN TERAPIA FÍSICA Y REHABILITACIÓN</c:v>
                </c:pt>
              </c:strCache>
            </c:strRef>
          </c:cat>
          <c:val>
            <c:numRef>
              <c:f>'HOJA RESUMEN '!$G$64:$G$73</c:f>
              <c:numCache>
                <c:formatCode>0.00%</c:formatCode>
                <c:ptCount val="10"/>
                <c:pt idx="0">
                  <c:v>1</c:v>
                </c:pt>
                <c:pt idx="1">
                  <c:v>1</c:v>
                </c:pt>
                <c:pt idx="2">
                  <c:v>1</c:v>
                </c:pt>
                <c:pt idx="3">
                  <c:v>1</c:v>
                </c:pt>
                <c:pt idx="4">
                  <c:v>1</c:v>
                </c:pt>
                <c:pt idx="5">
                  <c:v>1</c:v>
                </c:pt>
                <c:pt idx="6">
                  <c:v>1</c:v>
                </c:pt>
                <c:pt idx="7">
                  <c:v>1</c:v>
                </c:pt>
                <c:pt idx="8">
                  <c:v>1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B059-4CA6-82F5-706B90CFDA35}"/>
            </c:ext>
          </c:extLst>
        </c:ser>
        <c:ser>
          <c:idx val="4"/>
          <c:order val="4"/>
          <c:tx>
            <c:strRef>
              <c:f>'HOJA RESUMEN '!$H$62:$H$63</c:f>
              <c:strCache>
                <c:ptCount val="2"/>
                <c:pt idx="0">
                  <c:v>RESULTADOS DE %</c:v>
                </c:pt>
                <c:pt idx="1">
                  <c:v>% NO ASISTENTES</c:v>
                </c:pt>
              </c:strCache>
            </c:strRef>
          </c:tx>
          <c:spPr>
            <a:solidFill>
              <a:srgbClr val="13A10E"/>
            </a:solidFill>
            <a:ln>
              <a:noFill/>
            </a:ln>
            <a:effectLst/>
          </c:spPr>
          <c:cat>
            <c:strRef>
              <c:f>'HOJA RESUMEN '!$B$64:$B$73</c:f>
              <c:strCache>
                <c:ptCount val="10"/>
                <c:pt idx="0">
                  <c:v>CONTABILIDAD</c:v>
                </c:pt>
                <c:pt idx="1">
                  <c:v>DERECHO</c:v>
                </c:pt>
                <c:pt idx="2">
                  <c:v>ENFERMERIA</c:v>
                </c:pt>
                <c:pt idx="3">
                  <c:v>INGENIERIA CIVIL</c:v>
                </c:pt>
                <c:pt idx="4">
                  <c:v>INGENIERIA INDUSTRIAL</c:v>
                </c:pt>
                <c:pt idx="5">
                  <c:v>MEDICINA HUMANA </c:v>
                </c:pt>
                <c:pt idx="6">
                  <c:v>OBSTETRICIA</c:v>
                </c:pt>
                <c:pt idx="7">
                  <c:v>PSICOLOGIA</c:v>
                </c:pt>
                <c:pt idx="8">
                  <c:v>TECNOLOGÍA MÉDICA - ESPECIALIDAD EN LABORATORIO CLINICO Y ANATOMÍA PATOLÓGICA</c:v>
                </c:pt>
                <c:pt idx="9">
                  <c:v>TECNOLOGÍA MÉDICA - ESPECIALIDAD EN TERAPIA FÍSICA Y REHABILITACIÓN</c:v>
                </c:pt>
              </c:strCache>
            </c:strRef>
          </c:cat>
          <c:val>
            <c:numRef>
              <c:f>'HOJA RESUMEN '!$H$64:$H$73</c:f>
              <c:numCache>
                <c:formatCode>0.00%</c:formatCode>
                <c:ptCount val="10"/>
                <c:pt idx="0">
                  <c:v>0</c:v>
                </c:pt>
                <c:pt idx="1">
                  <c:v>3.125E-2</c:v>
                </c:pt>
                <c:pt idx="2">
                  <c:v>3.7037037037037035E-2</c:v>
                </c:pt>
                <c:pt idx="3">
                  <c:v>0</c:v>
                </c:pt>
                <c:pt idx="4">
                  <c:v>0</c:v>
                </c:pt>
                <c:pt idx="5">
                  <c:v>6.2500000000000003E-3</c:v>
                </c:pt>
                <c:pt idx="6">
                  <c:v>5.8823529411764705E-2</c:v>
                </c:pt>
                <c:pt idx="7">
                  <c:v>5.3571428571428568E-2</c:v>
                </c:pt>
                <c:pt idx="8">
                  <c:v>0.125</c:v>
                </c:pt>
                <c:pt idx="9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8-B059-4CA6-82F5-706B90CFDA35}"/>
            </c:ext>
          </c:extLst>
        </c:ser>
        <c:ser>
          <c:idx val="5"/>
          <c:order val="5"/>
          <c:tx>
            <c:strRef>
              <c:f>'HOJA RESUMEN '!$J$62:$J$63</c:f>
              <c:strCache>
                <c:ptCount val="2"/>
                <c:pt idx="0">
                  <c:v>RESULTADOS DE %</c:v>
                </c:pt>
                <c:pt idx="1">
                  <c:v>% ACTIVOS</c:v>
                </c:pt>
              </c:strCache>
            </c:strRef>
          </c:tx>
          <c:spPr>
            <a:solidFill>
              <a:srgbClr val="3A96DD"/>
            </a:solidFill>
            <a:ln>
              <a:noFill/>
            </a:ln>
            <a:effectLst/>
          </c:spPr>
          <c:cat>
            <c:strRef>
              <c:f>'HOJA RESUMEN '!$B$64:$B$73</c:f>
              <c:strCache>
                <c:ptCount val="10"/>
                <c:pt idx="0">
                  <c:v>CONTABILIDAD</c:v>
                </c:pt>
                <c:pt idx="1">
                  <c:v>DERECHO</c:v>
                </c:pt>
                <c:pt idx="2">
                  <c:v>ENFERMERIA</c:v>
                </c:pt>
                <c:pt idx="3">
                  <c:v>INGENIERIA CIVIL</c:v>
                </c:pt>
                <c:pt idx="4">
                  <c:v>INGENIERIA INDUSTRIAL</c:v>
                </c:pt>
                <c:pt idx="5">
                  <c:v>MEDICINA HUMANA </c:v>
                </c:pt>
                <c:pt idx="6">
                  <c:v>OBSTETRICIA</c:v>
                </c:pt>
                <c:pt idx="7">
                  <c:v>PSICOLOGIA</c:v>
                </c:pt>
                <c:pt idx="8">
                  <c:v>TECNOLOGÍA MÉDICA - ESPECIALIDAD EN LABORATORIO CLINICO Y ANATOMÍA PATOLÓGICA</c:v>
                </c:pt>
                <c:pt idx="9">
                  <c:v>TECNOLOGÍA MÉDICA - ESPECIALIDAD EN TERAPIA FÍSICA Y REHABILITACIÓN</c:v>
                </c:pt>
              </c:strCache>
            </c:strRef>
          </c:cat>
          <c:val>
            <c:numRef>
              <c:f>'HOJA RESUMEN '!$J$64:$J$73</c:f>
              <c:numCache>
                <c:formatCode>0.00%</c:formatCode>
                <c:ptCount val="10"/>
                <c:pt idx="0">
                  <c:v>1</c:v>
                </c:pt>
                <c:pt idx="1">
                  <c:v>0.96875</c:v>
                </c:pt>
                <c:pt idx="2">
                  <c:v>0.95555555555555549</c:v>
                </c:pt>
                <c:pt idx="3">
                  <c:v>1</c:v>
                </c:pt>
                <c:pt idx="4">
                  <c:v>1</c:v>
                </c:pt>
                <c:pt idx="5">
                  <c:v>0.98750000000000004</c:v>
                </c:pt>
                <c:pt idx="6">
                  <c:v>0.94117647058823528</c:v>
                </c:pt>
                <c:pt idx="7">
                  <c:v>0.9464285714285714</c:v>
                </c:pt>
                <c:pt idx="8">
                  <c:v>0.875</c:v>
                </c:pt>
                <c:pt idx="9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B059-4CA6-82F5-706B90CFDA3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2108172295"/>
        <c:axId val="2108178439"/>
      </c:areaChart>
      <c:catAx>
        <c:axId val="2108172295"/>
        <c:scaling>
          <c:orientation val="minMax"/>
        </c:scaling>
        <c:delete val="0"/>
        <c:axPos val="b"/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178439"/>
        <c:crosses val="autoZero"/>
        <c:auto val="1"/>
        <c:lblAlgn val="ctr"/>
        <c:lblOffset val="100"/>
        <c:noMultiLvlLbl val="0"/>
      </c:catAx>
      <c:valAx>
        <c:axId val="21081784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%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10817229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zero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MX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HUAURA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'HOJA RESUMEN '!$B$56</c:f>
              <c:strCache>
                <c:ptCount val="1"/>
                <c:pt idx="0">
                  <c:v>ADMINISTRACIÓN DE EMPRESAS </c:v>
                </c:pt>
              </c:strCache>
            </c:strRef>
          </c:tx>
          <c:spPr>
            <a:solidFill>
              <a:srgbClr val="637CEF"/>
            </a:solidFill>
            <a:ln>
              <a:noFill/>
            </a:ln>
            <a:effectLst/>
          </c:spPr>
          <c:invertIfNegative val="0"/>
          <c:cat>
            <c:multiLvlStrRef>
              <c:f>'HOJA RESUMEN '!$C$54:$K$55</c:f>
              <c:multiLvlStrCache>
                <c:ptCount val="9"/>
                <c:lvl>
                  <c:pt idx="0">
                    <c:v>Matriculados</c:v>
                  </c:pt>
                  <c:pt idx="1">
                    <c:v>No asisten</c:v>
                  </c:pt>
                  <c:pt idx="2">
                    <c:v>POR OCTDA</c:v>
                  </c:pt>
                  <c:pt idx="3">
                    <c:v>Activos</c:v>
                  </c:pt>
                  <c:pt idx="4">
                    <c:v>% MATRICULADOS</c:v>
                  </c:pt>
                  <c:pt idx="5">
                    <c:v>% NO ASISTENTES</c:v>
                  </c:pt>
                  <c:pt idx="6">
                    <c:v>% OCTDA</c:v>
                  </c:pt>
                  <c:pt idx="7">
                    <c:v>% ACTIVOS</c:v>
                  </c:pt>
                  <c:pt idx="8">
                    <c:v>%</c:v>
                  </c:pt>
                </c:lvl>
                <c:lvl>
                  <c:pt idx="4">
                    <c:v>RESULTADOS DE %</c:v>
                  </c:pt>
                </c:lvl>
              </c:multiLvlStrCache>
            </c:multiLvlStrRef>
          </c:cat>
          <c:val>
            <c:numRef>
              <c:f>'HOJA RESUMEN '!$C$56:$K$56</c:f>
              <c:numCache>
                <c:formatCode>General</c:formatCode>
                <c:ptCount val="9"/>
                <c:pt idx="0">
                  <c:v>26</c:v>
                </c:pt>
                <c:pt idx="1">
                  <c:v>1</c:v>
                </c:pt>
                <c:pt idx="3">
                  <c:v>25</c:v>
                </c:pt>
                <c:pt idx="4" formatCode="0.00%">
                  <c:v>1</c:v>
                </c:pt>
                <c:pt idx="5" formatCode="0.00%">
                  <c:v>3.8461538461538464E-2</c:v>
                </c:pt>
                <c:pt idx="6" formatCode="0.00%">
                  <c:v>0</c:v>
                </c:pt>
                <c:pt idx="7" formatCode="0.00%">
                  <c:v>0.96153846153846156</c:v>
                </c:pt>
                <c:pt idx="8" formatCode="0.00%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CC-45EC-94A9-553F89809DB6}"/>
            </c:ext>
          </c:extLst>
        </c:ser>
        <c:ser>
          <c:idx val="1"/>
          <c:order val="1"/>
          <c:tx>
            <c:strRef>
              <c:f>'HOJA RESUMEN '!$B$57</c:f>
              <c:strCache>
                <c:ptCount val="1"/>
                <c:pt idx="0">
                  <c:v>DERECHO</c:v>
                </c:pt>
              </c:strCache>
            </c:strRef>
          </c:tx>
          <c:spPr>
            <a:solidFill>
              <a:srgbClr val="E3008C"/>
            </a:solidFill>
            <a:ln>
              <a:noFill/>
            </a:ln>
            <a:effectLst/>
          </c:spPr>
          <c:invertIfNegative val="0"/>
          <c:cat>
            <c:multiLvlStrRef>
              <c:f>'HOJA RESUMEN '!$C$54:$K$55</c:f>
              <c:multiLvlStrCache>
                <c:ptCount val="9"/>
                <c:lvl>
                  <c:pt idx="0">
                    <c:v>Matriculados</c:v>
                  </c:pt>
                  <c:pt idx="1">
                    <c:v>No asisten</c:v>
                  </c:pt>
                  <c:pt idx="2">
                    <c:v>POR OCTDA</c:v>
                  </c:pt>
                  <c:pt idx="3">
                    <c:v>Activos</c:v>
                  </c:pt>
                  <c:pt idx="4">
                    <c:v>% MATRICULADOS</c:v>
                  </c:pt>
                  <c:pt idx="5">
                    <c:v>% NO ASISTENTES</c:v>
                  </c:pt>
                  <c:pt idx="6">
                    <c:v>% OCTDA</c:v>
                  </c:pt>
                  <c:pt idx="7">
                    <c:v>% ACTIVOS</c:v>
                  </c:pt>
                  <c:pt idx="8">
                    <c:v>%</c:v>
                  </c:pt>
                </c:lvl>
                <c:lvl>
                  <c:pt idx="4">
                    <c:v>RESULTADOS DE %</c:v>
                  </c:pt>
                </c:lvl>
              </c:multiLvlStrCache>
            </c:multiLvlStrRef>
          </c:cat>
          <c:val>
            <c:numRef>
              <c:f>'HOJA RESUMEN '!$C$57:$K$57</c:f>
              <c:numCache>
                <c:formatCode>General</c:formatCode>
                <c:ptCount val="9"/>
                <c:pt idx="0">
                  <c:v>78</c:v>
                </c:pt>
                <c:pt idx="1">
                  <c:v>4</c:v>
                </c:pt>
                <c:pt idx="3">
                  <c:v>74</c:v>
                </c:pt>
                <c:pt idx="4" formatCode="0.00%">
                  <c:v>1</c:v>
                </c:pt>
                <c:pt idx="5" formatCode="0.00%">
                  <c:v>5.128205128205128E-2</c:v>
                </c:pt>
                <c:pt idx="6" formatCode="0.00%">
                  <c:v>0</c:v>
                </c:pt>
                <c:pt idx="7" formatCode="0.00%">
                  <c:v>0.94871794871794868</c:v>
                </c:pt>
                <c:pt idx="8" formatCode="0.00%">
                  <c:v>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CC-45EC-94A9-553F89809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1401092104"/>
        <c:axId val="2096832520"/>
      </c:barChart>
      <c:lineChart>
        <c:grouping val="standard"/>
        <c:varyColors val="0"/>
        <c:ser>
          <c:idx val="2"/>
          <c:order val="2"/>
          <c:tx>
            <c:strRef>
              <c:f>'HOJA RESUMEN '!$B$58</c:f>
              <c:strCache>
                <c:ptCount val="1"/>
                <c:pt idx="0">
                  <c:v>ENFERMERIA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none"/>
          </c:marker>
          <c:cat>
            <c:multiLvlStrRef>
              <c:f>'HOJA RESUMEN '!$C$54:$K$55</c:f>
              <c:multiLvlStrCache>
                <c:ptCount val="9"/>
                <c:lvl>
                  <c:pt idx="0">
                    <c:v>Matriculados</c:v>
                  </c:pt>
                  <c:pt idx="1">
                    <c:v>No asisten</c:v>
                  </c:pt>
                  <c:pt idx="2">
                    <c:v>POR OCTDA</c:v>
                  </c:pt>
                  <c:pt idx="3">
                    <c:v>Activos</c:v>
                  </c:pt>
                  <c:pt idx="4">
                    <c:v>% MATRICULADOS</c:v>
                  </c:pt>
                  <c:pt idx="5">
                    <c:v>% NO ASISTENTES</c:v>
                  </c:pt>
                  <c:pt idx="6">
                    <c:v>% OCTDA</c:v>
                  </c:pt>
                  <c:pt idx="7">
                    <c:v>% ACTIVOS</c:v>
                  </c:pt>
                  <c:pt idx="8">
                    <c:v>%</c:v>
                  </c:pt>
                </c:lvl>
                <c:lvl>
                  <c:pt idx="4">
                    <c:v>RESULTADOS DE %</c:v>
                  </c:pt>
                </c:lvl>
              </c:multiLvlStrCache>
            </c:multiLvlStrRef>
          </c:cat>
          <c:val>
            <c:numRef>
              <c:f>'HOJA RESUMEN '!$C$58:$K$58</c:f>
              <c:numCache>
                <c:formatCode>General</c:formatCode>
                <c:ptCount val="9"/>
                <c:pt idx="0">
                  <c:v>136</c:v>
                </c:pt>
                <c:pt idx="1">
                  <c:v>4</c:v>
                </c:pt>
                <c:pt idx="3">
                  <c:v>132</c:v>
                </c:pt>
                <c:pt idx="4" formatCode="0.00%">
                  <c:v>1</c:v>
                </c:pt>
                <c:pt idx="5" formatCode="0.00%">
                  <c:v>2.9411764705882353E-2</c:v>
                </c:pt>
                <c:pt idx="6" formatCode="0.00%">
                  <c:v>0</c:v>
                </c:pt>
                <c:pt idx="7" formatCode="0.00%">
                  <c:v>0.97058823529411764</c:v>
                </c:pt>
                <c:pt idx="8" formatCode="0.00%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7CC-45EC-94A9-553F89809DB6}"/>
            </c:ext>
          </c:extLst>
        </c:ser>
        <c:ser>
          <c:idx val="3"/>
          <c:order val="3"/>
          <c:tx>
            <c:strRef>
              <c:f>'HOJA RESUMEN '!$B$59</c:f>
              <c:strCache>
                <c:ptCount val="1"/>
                <c:pt idx="0">
                  <c:v>PSICOLOGIA</c:v>
                </c:pt>
              </c:strCache>
            </c:strRef>
          </c:tx>
          <c:spPr>
            <a:ln w="28575" cap="rnd">
              <a:solidFill>
                <a:srgbClr val="9373C0"/>
              </a:solidFill>
              <a:round/>
            </a:ln>
            <a:effectLst/>
          </c:spPr>
          <c:marker>
            <c:symbol val="none"/>
          </c:marker>
          <c:cat>
            <c:multiLvlStrRef>
              <c:f>'HOJA RESUMEN '!$C$54:$K$55</c:f>
              <c:multiLvlStrCache>
                <c:ptCount val="9"/>
                <c:lvl>
                  <c:pt idx="0">
                    <c:v>Matriculados</c:v>
                  </c:pt>
                  <c:pt idx="1">
                    <c:v>No asisten</c:v>
                  </c:pt>
                  <c:pt idx="2">
                    <c:v>POR OCTDA</c:v>
                  </c:pt>
                  <c:pt idx="3">
                    <c:v>Activos</c:v>
                  </c:pt>
                  <c:pt idx="4">
                    <c:v>% MATRICULADOS</c:v>
                  </c:pt>
                  <c:pt idx="5">
                    <c:v>% NO ASISTENTES</c:v>
                  </c:pt>
                  <c:pt idx="6">
                    <c:v>% OCTDA</c:v>
                  </c:pt>
                  <c:pt idx="7">
                    <c:v>% ACTIVOS</c:v>
                  </c:pt>
                  <c:pt idx="8">
                    <c:v>%</c:v>
                  </c:pt>
                </c:lvl>
                <c:lvl>
                  <c:pt idx="4">
                    <c:v>RESULTADOS DE %</c:v>
                  </c:pt>
                </c:lvl>
              </c:multiLvlStrCache>
            </c:multiLvlStrRef>
          </c:cat>
          <c:val>
            <c:numRef>
              <c:f>'HOJA RESUMEN '!$C$59:$K$59</c:f>
              <c:numCache>
                <c:formatCode>General</c:formatCode>
                <c:ptCount val="9"/>
                <c:pt idx="0">
                  <c:v>95</c:v>
                </c:pt>
                <c:pt idx="1">
                  <c:v>8</c:v>
                </c:pt>
                <c:pt idx="3">
                  <c:v>87</c:v>
                </c:pt>
                <c:pt idx="4" formatCode="0.00%">
                  <c:v>1</c:v>
                </c:pt>
                <c:pt idx="5" formatCode="0.00%">
                  <c:v>8.4210526315789472E-2</c:v>
                </c:pt>
                <c:pt idx="6" formatCode="0.00%">
                  <c:v>0</c:v>
                </c:pt>
                <c:pt idx="7" formatCode="0.00%">
                  <c:v>0.91578947368421049</c:v>
                </c:pt>
                <c:pt idx="8" formatCode="0.00%">
                  <c:v>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6-87CC-45EC-94A9-553F89809DB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01092104"/>
        <c:axId val="2096832520"/>
      </c:lineChart>
      <c:catAx>
        <c:axId val="14010921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96832520"/>
        <c:crosses val="autoZero"/>
        <c:auto val="1"/>
        <c:lblAlgn val="ctr"/>
        <c:lblOffset val="100"/>
        <c:noMultiLvlLbl val="0"/>
      </c:catAx>
      <c:valAx>
        <c:axId val="209683252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010921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5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6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7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style1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7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32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11</xdr:col>
      <xdr:colOff>561975</xdr:colOff>
      <xdr:row>5</xdr:row>
      <xdr:rowOff>161925</xdr:rowOff>
    </xdr:from>
    <xdr:to>
      <xdr:col>17</xdr:col>
      <xdr:colOff>476250</xdr:colOff>
      <xdr:row>16</xdr:row>
      <xdr:rowOff>95250</xdr:rowOff>
    </xdr:to>
    <xdr:graphicFrame macro="">
      <xdr:nvGraphicFramePr>
        <xdr:cNvPr id="8" name="Gráfico 7">
          <a:extLst>
            <a:ext uri="{FF2B5EF4-FFF2-40B4-BE49-F238E27FC236}">
              <a16:creationId xmlns:a16="http://schemas.microsoft.com/office/drawing/2014/main" id="{901581A4-CF75-16AD-A3A8-0B0F595C40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66675</xdr:colOff>
      <xdr:row>4</xdr:row>
      <xdr:rowOff>19050</xdr:rowOff>
    </xdr:from>
    <xdr:to>
      <xdr:col>27</xdr:col>
      <xdr:colOff>114300</xdr:colOff>
      <xdr:row>17</xdr:row>
      <xdr:rowOff>66675</xdr:rowOff>
    </xdr:to>
    <xdr:graphicFrame macro="">
      <xdr:nvGraphicFramePr>
        <xdr:cNvPr id="10" name="Gráfico 9">
          <a:extLst>
            <a:ext uri="{FF2B5EF4-FFF2-40B4-BE49-F238E27FC236}">
              <a16:creationId xmlns:a16="http://schemas.microsoft.com/office/drawing/2014/main" id="{C54E035F-D772-6488-4165-7DB97F5572D8}"/>
            </a:ext>
            <a:ext uri="{147F2762-F138-4A5C-976F-8EAC2B608ADB}">
              <a16:predDERef xmlns:a16="http://schemas.microsoft.com/office/drawing/2014/main" pred="{901581A4-CF75-16AD-A3A8-0B0F595C407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19</xdr:col>
      <xdr:colOff>361950</xdr:colOff>
      <xdr:row>18</xdr:row>
      <xdr:rowOff>142875</xdr:rowOff>
    </xdr:from>
    <xdr:to>
      <xdr:col>28</xdr:col>
      <xdr:colOff>180975</xdr:colOff>
      <xdr:row>31</xdr:row>
      <xdr:rowOff>0</xdr:rowOff>
    </xdr:to>
    <xdr:graphicFrame macro="">
      <xdr:nvGraphicFramePr>
        <xdr:cNvPr id="13" name="Gráfico 12">
          <a:extLst>
            <a:ext uri="{FF2B5EF4-FFF2-40B4-BE49-F238E27FC236}">
              <a16:creationId xmlns:a16="http://schemas.microsoft.com/office/drawing/2014/main" id="{491DA159-F7DE-1EAD-7EA1-269120595922}"/>
            </a:ext>
            <a:ext uri="{147F2762-F138-4A5C-976F-8EAC2B608ADB}">
              <a16:predDERef xmlns:a16="http://schemas.microsoft.com/office/drawing/2014/main" pred="{C54E035F-D772-6488-4165-7DB97F5572D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11</xdr:col>
      <xdr:colOff>114300</xdr:colOff>
      <xdr:row>38</xdr:row>
      <xdr:rowOff>9525</xdr:rowOff>
    </xdr:from>
    <xdr:to>
      <xdr:col>20</xdr:col>
      <xdr:colOff>9525</xdr:colOff>
      <xdr:row>55</xdr:row>
      <xdr:rowOff>0</xdr:rowOff>
    </xdr:to>
    <xdr:graphicFrame macro="">
      <xdr:nvGraphicFramePr>
        <xdr:cNvPr id="14" name="Gráfico 13">
          <a:extLst>
            <a:ext uri="{FF2B5EF4-FFF2-40B4-BE49-F238E27FC236}">
              <a16:creationId xmlns:a16="http://schemas.microsoft.com/office/drawing/2014/main" id="{8FCD0A2E-1224-ECED-29A2-7B9A2DBFB1CD}"/>
            </a:ext>
            <a:ext uri="{147F2762-F138-4A5C-976F-8EAC2B608ADB}">
              <a16:predDERef xmlns:a16="http://schemas.microsoft.com/office/drawing/2014/main" pred="{491DA159-F7DE-1EAD-7EA1-2691205959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</xdr:col>
      <xdr:colOff>1285875</xdr:colOff>
      <xdr:row>4</xdr:row>
      <xdr:rowOff>85725</xdr:rowOff>
    </xdr:from>
    <xdr:to>
      <xdr:col>1</xdr:col>
      <xdr:colOff>1285875</xdr:colOff>
      <xdr:row>4</xdr:row>
      <xdr:rowOff>85725</xdr:rowOff>
    </xdr:to>
    <xdr:graphicFrame macro="">
      <xdr:nvGraphicFramePr>
        <xdr:cNvPr id="15" name="Gráfico 14">
          <a:extLst>
            <a:ext uri="{FF2B5EF4-FFF2-40B4-BE49-F238E27FC236}">
              <a16:creationId xmlns:a16="http://schemas.microsoft.com/office/drawing/2014/main" id="{51A8E11E-8F2B-51EA-B4D2-48F846B57722}"/>
            </a:ext>
            <a:ext uri="{147F2762-F138-4A5C-976F-8EAC2B608ADB}">
              <a16:predDERef xmlns:a16="http://schemas.microsoft.com/office/drawing/2014/main" pred="{8FCD0A2E-1224-ECED-29A2-7B9A2DBFB1C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20</xdr:col>
      <xdr:colOff>123825</xdr:colOff>
      <xdr:row>37</xdr:row>
      <xdr:rowOff>95250</xdr:rowOff>
    </xdr:from>
    <xdr:to>
      <xdr:col>29</xdr:col>
      <xdr:colOff>542925</xdr:colOff>
      <xdr:row>56</xdr:row>
      <xdr:rowOff>47625</xdr:rowOff>
    </xdr:to>
    <xdr:graphicFrame macro="">
      <xdr:nvGraphicFramePr>
        <xdr:cNvPr id="17" name="Gráfico 16">
          <a:extLst>
            <a:ext uri="{FF2B5EF4-FFF2-40B4-BE49-F238E27FC236}">
              <a16:creationId xmlns:a16="http://schemas.microsoft.com/office/drawing/2014/main" id="{92D57533-225B-C665-6572-2D3481F11305}"/>
            </a:ext>
            <a:ext uri="{147F2762-F138-4A5C-976F-8EAC2B608ADB}">
              <a16:predDERef xmlns:a16="http://schemas.microsoft.com/office/drawing/2014/main" pred="{51A8E11E-8F2B-51EA-B4D2-48F846B57722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11</xdr:col>
      <xdr:colOff>609600</xdr:colOff>
      <xdr:row>58</xdr:row>
      <xdr:rowOff>133350</xdr:rowOff>
    </xdr:from>
    <xdr:to>
      <xdr:col>18</xdr:col>
      <xdr:colOff>533400</xdr:colOff>
      <xdr:row>73</xdr:row>
      <xdr:rowOff>9525</xdr:rowOff>
    </xdr:to>
    <xdr:graphicFrame macro="">
      <xdr:nvGraphicFramePr>
        <xdr:cNvPr id="20" name="Gráfico 19">
          <a:extLst>
            <a:ext uri="{FF2B5EF4-FFF2-40B4-BE49-F238E27FC236}">
              <a16:creationId xmlns:a16="http://schemas.microsoft.com/office/drawing/2014/main" id="{528B2490-C6F4-FD32-A3A2-A3C0304B2DA8}"/>
            </a:ext>
            <a:ext uri="{147F2762-F138-4A5C-976F-8EAC2B608ADB}">
              <a16:predDERef xmlns:a16="http://schemas.microsoft.com/office/drawing/2014/main" pred="{92D57533-225B-C665-6572-2D3481F1130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644C80-0EC8-4DFB-AE4D-3C19D269B62B}">
  <sheetPr>
    <tabColor theme="7"/>
    <pageSetUpPr fitToPage="1"/>
  </sheetPr>
  <dimension ref="B3:U289"/>
  <sheetViews>
    <sheetView tabSelected="1" zoomScaleNormal="100" workbookViewId="0">
      <selection activeCell="K289" sqref="B289:K289"/>
    </sheetView>
  </sheetViews>
  <sheetFormatPr baseColWidth="10" defaultColWidth="11.42578125" defaultRowHeight="15" x14ac:dyDescent="0.25"/>
  <cols>
    <col min="1" max="1" width="8.5703125" customWidth="1"/>
    <col min="2" max="2" width="7.85546875" customWidth="1"/>
    <col min="3" max="3" width="31.28515625" customWidth="1"/>
    <col min="4" max="4" width="13.7109375" customWidth="1"/>
    <col min="8" max="9" width="15.85546875" style="9" customWidth="1"/>
    <col min="10" max="11" width="16" customWidth="1"/>
    <col min="12" max="12" width="15.42578125" customWidth="1"/>
  </cols>
  <sheetData>
    <row r="3" spans="2:21" ht="16.5" customHeight="1" x14ac:dyDescent="0.25">
      <c r="B3" s="254" t="s">
        <v>0</v>
      </c>
      <c r="C3" s="254"/>
      <c r="D3" s="254"/>
      <c r="E3" s="254"/>
      <c r="F3" s="254"/>
      <c r="G3" s="254"/>
      <c r="H3" s="254"/>
      <c r="I3" s="254"/>
      <c r="J3" s="254"/>
      <c r="K3" s="254"/>
      <c r="L3" s="10"/>
      <c r="M3" s="10"/>
      <c r="N3" s="10"/>
      <c r="T3" s="1" t="s">
        <v>1</v>
      </c>
      <c r="U3" s="2"/>
    </row>
    <row r="4" spans="2:21" ht="26.25" customHeight="1" x14ac:dyDescent="0.25">
      <c r="B4" s="77" t="s">
        <v>2</v>
      </c>
      <c r="C4" s="77" t="s">
        <v>3</v>
      </c>
      <c r="D4" s="77" t="s">
        <v>4</v>
      </c>
      <c r="E4" s="77" t="s">
        <v>5</v>
      </c>
      <c r="F4" s="77" t="s">
        <v>6</v>
      </c>
      <c r="G4" s="77" t="s">
        <v>7</v>
      </c>
      <c r="H4" s="77" t="s">
        <v>8</v>
      </c>
      <c r="I4" s="77" t="s">
        <v>9</v>
      </c>
      <c r="J4" s="77" t="s">
        <v>10</v>
      </c>
      <c r="K4" s="77" t="s">
        <v>11</v>
      </c>
      <c r="T4" s="78" t="s">
        <v>12</v>
      </c>
      <c r="U4" s="79"/>
    </row>
    <row r="5" spans="2:21" x14ac:dyDescent="0.25">
      <c r="B5" s="251">
        <v>1</v>
      </c>
      <c r="C5" s="81" t="s">
        <v>13</v>
      </c>
      <c r="D5" s="258" t="s">
        <v>14</v>
      </c>
      <c r="E5" s="258" t="s">
        <v>1</v>
      </c>
      <c r="F5" s="83" t="s">
        <v>15</v>
      </c>
      <c r="G5" s="246" t="s">
        <v>16</v>
      </c>
      <c r="H5" s="84">
        <v>32</v>
      </c>
      <c r="I5" s="84">
        <v>0</v>
      </c>
      <c r="J5" s="84">
        <v>1</v>
      </c>
      <c r="K5" s="85">
        <v>31</v>
      </c>
      <c r="T5" s="78" t="s">
        <v>17</v>
      </c>
      <c r="U5" s="86"/>
    </row>
    <row r="6" spans="2:21" x14ac:dyDescent="0.25">
      <c r="B6" s="251"/>
      <c r="C6" s="87" t="s">
        <v>18</v>
      </c>
      <c r="D6" s="258"/>
      <c r="E6" s="258"/>
      <c r="F6" s="88" t="s">
        <v>19</v>
      </c>
      <c r="G6" s="246"/>
      <c r="H6" s="88">
        <v>33</v>
      </c>
      <c r="I6" s="88"/>
      <c r="J6" s="84">
        <v>1</v>
      </c>
      <c r="K6" s="85">
        <f>H6-J6</f>
        <v>32</v>
      </c>
      <c r="T6" s="3"/>
      <c r="U6" s="4"/>
    </row>
    <row r="7" spans="2:21" x14ac:dyDescent="0.25">
      <c r="B7" s="251"/>
      <c r="C7" s="87" t="s">
        <v>20</v>
      </c>
      <c r="D7" s="258"/>
      <c r="E7" s="258"/>
      <c r="F7" s="88" t="s">
        <v>19</v>
      </c>
      <c r="G7" s="246"/>
      <c r="H7" s="88">
        <v>32</v>
      </c>
      <c r="I7" s="88"/>
      <c r="J7" s="84">
        <v>1</v>
      </c>
      <c r="K7" s="85">
        <f t="shared" ref="K7:K11" si="0">H7-J7</f>
        <v>31</v>
      </c>
      <c r="T7" s="3"/>
      <c r="U7" s="4"/>
    </row>
    <row r="8" spans="2:21" x14ac:dyDescent="0.25">
      <c r="B8" s="251"/>
      <c r="C8" s="87" t="s">
        <v>21</v>
      </c>
      <c r="D8" s="258"/>
      <c r="E8" s="258"/>
      <c r="F8" s="88" t="s">
        <v>19</v>
      </c>
      <c r="G8" s="246"/>
      <c r="H8" s="88">
        <v>32</v>
      </c>
      <c r="I8" s="88"/>
      <c r="J8" s="84">
        <v>1</v>
      </c>
      <c r="K8" s="85">
        <f t="shared" si="0"/>
        <v>31</v>
      </c>
      <c r="T8" s="3"/>
      <c r="U8" s="4"/>
    </row>
    <row r="9" spans="2:21" x14ac:dyDescent="0.25">
      <c r="B9" s="251"/>
      <c r="C9" s="87" t="s">
        <v>22</v>
      </c>
      <c r="D9" s="258"/>
      <c r="E9" s="258"/>
      <c r="F9" s="88" t="s">
        <v>19</v>
      </c>
      <c r="G9" s="246"/>
      <c r="H9" s="88">
        <v>32</v>
      </c>
      <c r="I9" s="88"/>
      <c r="J9" s="84">
        <v>1</v>
      </c>
      <c r="K9" s="85">
        <f t="shared" si="0"/>
        <v>31</v>
      </c>
      <c r="T9" s="3"/>
      <c r="U9" s="4"/>
    </row>
    <row r="10" spans="2:21" x14ac:dyDescent="0.25">
      <c r="B10" s="251"/>
      <c r="C10" s="87" t="s">
        <v>23</v>
      </c>
      <c r="D10" s="258"/>
      <c r="E10" s="258"/>
      <c r="F10" s="88" t="s">
        <v>19</v>
      </c>
      <c r="G10" s="246"/>
      <c r="H10" s="88">
        <v>32</v>
      </c>
      <c r="I10" s="88"/>
      <c r="J10" s="84">
        <v>1</v>
      </c>
      <c r="K10" s="85">
        <f t="shared" si="0"/>
        <v>31</v>
      </c>
      <c r="T10" s="3"/>
      <c r="U10" s="4"/>
    </row>
    <row r="11" spans="2:21" x14ac:dyDescent="0.25">
      <c r="B11" s="251"/>
      <c r="C11" s="87" t="s">
        <v>24</v>
      </c>
      <c r="D11" s="258"/>
      <c r="E11" s="258"/>
      <c r="F11" s="88" t="s">
        <v>19</v>
      </c>
      <c r="G11" s="246"/>
      <c r="H11" s="88">
        <v>33</v>
      </c>
      <c r="I11" s="88"/>
      <c r="J11" s="84">
        <v>1</v>
      </c>
      <c r="K11" s="85">
        <f t="shared" si="0"/>
        <v>32</v>
      </c>
      <c r="T11" s="3"/>
      <c r="U11" s="4"/>
    </row>
    <row r="12" spans="2:21" x14ac:dyDescent="0.25">
      <c r="B12" s="251">
        <v>1</v>
      </c>
      <c r="C12" s="89" t="s">
        <v>13</v>
      </c>
      <c r="D12" s="259" t="s">
        <v>14</v>
      </c>
      <c r="E12" s="259" t="s">
        <v>17</v>
      </c>
      <c r="F12" s="90" t="s">
        <v>15</v>
      </c>
      <c r="G12" s="255" t="s">
        <v>25</v>
      </c>
      <c r="H12" s="91">
        <v>15</v>
      </c>
      <c r="I12" s="91"/>
      <c r="J12" s="91">
        <v>2</v>
      </c>
      <c r="K12" s="92">
        <v>10</v>
      </c>
      <c r="T12" s="93" t="s">
        <v>26</v>
      </c>
      <c r="U12" s="94"/>
    </row>
    <row r="13" spans="2:21" x14ac:dyDescent="0.25">
      <c r="B13" s="251"/>
      <c r="C13" s="87" t="s">
        <v>18</v>
      </c>
      <c r="D13" s="259"/>
      <c r="E13" s="259"/>
      <c r="F13" s="88" t="s">
        <v>27</v>
      </c>
      <c r="G13" s="256"/>
      <c r="H13" s="95">
        <v>17</v>
      </c>
      <c r="I13" s="91"/>
      <c r="J13" s="91">
        <v>4</v>
      </c>
      <c r="K13" s="92">
        <f>H13-J13</f>
        <v>13</v>
      </c>
      <c r="U13" s="5"/>
    </row>
    <row r="14" spans="2:21" x14ac:dyDescent="0.25">
      <c r="B14" s="251"/>
      <c r="C14" s="87" t="s">
        <v>20</v>
      </c>
      <c r="D14" s="259"/>
      <c r="E14" s="259"/>
      <c r="F14" s="88" t="s">
        <v>27</v>
      </c>
      <c r="G14" s="256"/>
      <c r="H14" s="95">
        <v>15</v>
      </c>
      <c r="I14" s="91"/>
      <c r="J14" s="91">
        <v>3</v>
      </c>
      <c r="K14" s="92">
        <f t="shared" ref="K14:K18" si="1">H14-J14</f>
        <v>12</v>
      </c>
      <c r="U14" s="5"/>
    </row>
    <row r="15" spans="2:21" x14ac:dyDescent="0.25">
      <c r="B15" s="251"/>
      <c r="C15" s="87" t="s">
        <v>21</v>
      </c>
      <c r="D15" s="259"/>
      <c r="E15" s="259"/>
      <c r="F15" s="88" t="s">
        <v>27</v>
      </c>
      <c r="G15" s="256"/>
      <c r="H15" s="95">
        <v>15</v>
      </c>
      <c r="I15" s="91"/>
      <c r="J15" s="91">
        <v>3</v>
      </c>
      <c r="K15" s="92">
        <f t="shared" si="1"/>
        <v>12</v>
      </c>
      <c r="U15" s="5"/>
    </row>
    <row r="16" spans="2:21" x14ac:dyDescent="0.25">
      <c r="B16" s="251"/>
      <c r="C16" s="87" t="s">
        <v>22</v>
      </c>
      <c r="D16" s="259"/>
      <c r="E16" s="259"/>
      <c r="F16" s="88" t="s">
        <v>27</v>
      </c>
      <c r="G16" s="256"/>
      <c r="H16" s="95">
        <v>15</v>
      </c>
      <c r="I16" s="91"/>
      <c r="J16" s="91">
        <v>3</v>
      </c>
      <c r="K16" s="92">
        <f t="shared" si="1"/>
        <v>12</v>
      </c>
      <c r="U16" s="5"/>
    </row>
    <row r="17" spans="2:21" x14ac:dyDescent="0.25">
      <c r="B17" s="251"/>
      <c r="C17" s="87" t="s">
        <v>23</v>
      </c>
      <c r="D17" s="259"/>
      <c r="E17" s="259"/>
      <c r="F17" s="88" t="s">
        <v>27</v>
      </c>
      <c r="G17" s="256"/>
      <c r="H17" s="95">
        <v>18</v>
      </c>
      <c r="I17" s="91"/>
      <c r="J17" s="91">
        <v>4</v>
      </c>
      <c r="K17" s="92">
        <f t="shared" si="1"/>
        <v>14</v>
      </c>
      <c r="U17" s="5"/>
    </row>
    <row r="18" spans="2:21" x14ac:dyDescent="0.25">
      <c r="B18" s="251"/>
      <c r="C18" s="87" t="s">
        <v>24</v>
      </c>
      <c r="D18" s="259"/>
      <c r="E18" s="259"/>
      <c r="F18" s="88" t="s">
        <v>27</v>
      </c>
      <c r="G18" s="257"/>
      <c r="H18" s="95">
        <v>16</v>
      </c>
      <c r="I18" s="91"/>
      <c r="J18" s="91">
        <v>3</v>
      </c>
      <c r="K18" s="92">
        <f t="shared" si="1"/>
        <v>13</v>
      </c>
      <c r="U18" s="5"/>
    </row>
    <row r="19" spans="2:21" x14ac:dyDescent="0.25">
      <c r="B19" s="251">
        <v>1</v>
      </c>
      <c r="C19" s="96" t="s">
        <v>28</v>
      </c>
      <c r="D19" s="260" t="s">
        <v>29</v>
      </c>
      <c r="E19" s="260" t="s">
        <v>17</v>
      </c>
      <c r="F19" s="97" t="s">
        <v>30</v>
      </c>
      <c r="G19" s="263" t="s">
        <v>25</v>
      </c>
      <c r="H19" s="95">
        <v>18</v>
      </c>
      <c r="I19" s="98"/>
      <c r="J19" s="98">
        <v>4</v>
      </c>
      <c r="K19" s="99">
        <v>14</v>
      </c>
      <c r="U19" s="5"/>
    </row>
    <row r="20" spans="2:21" x14ac:dyDescent="0.25">
      <c r="B20" s="251"/>
      <c r="C20" s="87" t="s">
        <v>18</v>
      </c>
      <c r="D20" s="260"/>
      <c r="E20" s="260"/>
      <c r="F20" s="88" t="s">
        <v>31</v>
      </c>
      <c r="G20" s="263"/>
      <c r="H20" s="100">
        <v>20</v>
      </c>
      <c r="I20" s="101"/>
      <c r="J20" s="98">
        <v>4</v>
      </c>
      <c r="K20" s="99">
        <f>H20-J20</f>
        <v>16</v>
      </c>
      <c r="U20" s="5"/>
    </row>
    <row r="21" spans="2:21" x14ac:dyDescent="0.25">
      <c r="B21" s="251"/>
      <c r="C21" s="87" t="s">
        <v>20</v>
      </c>
      <c r="D21" s="260"/>
      <c r="E21" s="260"/>
      <c r="F21" s="88" t="s">
        <v>31</v>
      </c>
      <c r="G21" s="263"/>
      <c r="H21" s="100">
        <v>18</v>
      </c>
      <c r="I21" s="101"/>
      <c r="J21" s="98">
        <v>4</v>
      </c>
      <c r="K21" s="99">
        <f t="shared" ref="K21:K25" si="2">H21-J21</f>
        <v>14</v>
      </c>
      <c r="U21" s="5"/>
    </row>
    <row r="22" spans="2:21" x14ac:dyDescent="0.25">
      <c r="B22" s="251"/>
      <c r="C22" s="87" t="s">
        <v>21</v>
      </c>
      <c r="D22" s="260"/>
      <c r="E22" s="260"/>
      <c r="F22" s="88" t="s">
        <v>31</v>
      </c>
      <c r="G22" s="263"/>
      <c r="H22" s="100">
        <v>18</v>
      </c>
      <c r="I22" s="101"/>
      <c r="J22" s="98">
        <v>4</v>
      </c>
      <c r="K22" s="99">
        <f t="shared" si="2"/>
        <v>14</v>
      </c>
      <c r="U22" s="5"/>
    </row>
    <row r="23" spans="2:21" x14ac:dyDescent="0.25">
      <c r="B23" s="251"/>
      <c r="C23" s="87" t="s">
        <v>22</v>
      </c>
      <c r="D23" s="260"/>
      <c r="E23" s="260"/>
      <c r="F23" s="88" t="s">
        <v>31</v>
      </c>
      <c r="G23" s="263"/>
      <c r="H23" s="100">
        <v>18</v>
      </c>
      <c r="I23" s="101"/>
      <c r="J23" s="98">
        <v>4</v>
      </c>
      <c r="K23" s="99">
        <f t="shared" si="2"/>
        <v>14</v>
      </c>
      <c r="U23" s="5"/>
    </row>
    <row r="24" spans="2:21" x14ac:dyDescent="0.25">
      <c r="B24" s="251"/>
      <c r="C24" s="87" t="s">
        <v>23</v>
      </c>
      <c r="D24" s="260"/>
      <c r="E24" s="260"/>
      <c r="F24" s="88" t="s">
        <v>31</v>
      </c>
      <c r="G24" s="263"/>
      <c r="H24" s="100">
        <v>19</v>
      </c>
      <c r="I24" s="101"/>
      <c r="J24" s="98">
        <v>4</v>
      </c>
      <c r="K24" s="99">
        <f t="shared" si="2"/>
        <v>15</v>
      </c>
      <c r="U24" s="5"/>
    </row>
    <row r="25" spans="2:21" x14ac:dyDescent="0.25">
      <c r="B25" s="251"/>
      <c r="C25" s="87" t="s">
        <v>24</v>
      </c>
      <c r="D25" s="260"/>
      <c r="E25" s="260"/>
      <c r="F25" s="88" t="s">
        <v>31</v>
      </c>
      <c r="G25" s="263"/>
      <c r="H25" s="100">
        <v>18</v>
      </c>
      <c r="I25" s="101"/>
      <c r="J25" s="98">
        <v>4</v>
      </c>
      <c r="K25" s="99">
        <f t="shared" si="2"/>
        <v>14</v>
      </c>
      <c r="U25" s="5"/>
    </row>
    <row r="26" spans="2:21" x14ac:dyDescent="0.25">
      <c r="B26" s="251">
        <v>1</v>
      </c>
      <c r="C26" s="89" t="s">
        <v>32</v>
      </c>
      <c r="D26" s="259" t="s">
        <v>14</v>
      </c>
      <c r="E26" s="259" t="s">
        <v>17</v>
      </c>
      <c r="F26" s="90" t="s">
        <v>15</v>
      </c>
      <c r="G26" s="242" t="s">
        <v>16</v>
      </c>
      <c r="H26" s="103">
        <v>13</v>
      </c>
      <c r="I26" s="90"/>
      <c r="J26" s="90">
        <v>4</v>
      </c>
      <c r="K26" s="104">
        <v>10</v>
      </c>
    </row>
    <row r="27" spans="2:21" x14ac:dyDescent="0.25">
      <c r="B27" s="251"/>
      <c r="C27" s="87" t="s">
        <v>20</v>
      </c>
      <c r="D27" s="259"/>
      <c r="E27" s="259"/>
      <c r="F27" s="87" t="s">
        <v>27</v>
      </c>
      <c r="G27" s="242"/>
      <c r="H27" s="100">
        <v>13</v>
      </c>
      <c r="I27" s="88"/>
      <c r="J27" s="91">
        <v>4</v>
      </c>
      <c r="K27" s="92">
        <f>H27-J27</f>
        <v>9</v>
      </c>
    </row>
    <row r="28" spans="2:21" x14ac:dyDescent="0.25">
      <c r="B28" s="251"/>
      <c r="C28" s="87" t="s">
        <v>21</v>
      </c>
      <c r="D28" s="259"/>
      <c r="E28" s="259"/>
      <c r="F28" s="87" t="s">
        <v>27</v>
      </c>
      <c r="G28" s="242"/>
      <c r="H28" s="100">
        <v>14</v>
      </c>
      <c r="I28" s="88"/>
      <c r="J28" s="91">
        <v>4</v>
      </c>
      <c r="K28" s="92">
        <f t="shared" ref="K28:K32" si="3">H28-J28</f>
        <v>10</v>
      </c>
    </row>
    <row r="29" spans="2:21" x14ac:dyDescent="0.25">
      <c r="B29" s="251"/>
      <c r="C29" s="87" t="s">
        <v>22</v>
      </c>
      <c r="D29" s="259"/>
      <c r="E29" s="259"/>
      <c r="F29" s="87" t="s">
        <v>27</v>
      </c>
      <c r="G29" s="242"/>
      <c r="H29" s="100">
        <v>13</v>
      </c>
      <c r="I29" s="88"/>
      <c r="J29" s="91">
        <v>4</v>
      </c>
      <c r="K29" s="92">
        <f t="shared" si="3"/>
        <v>9</v>
      </c>
    </row>
    <row r="30" spans="2:21" x14ac:dyDescent="0.25">
      <c r="B30" s="251"/>
      <c r="C30" s="87" t="s">
        <v>33</v>
      </c>
      <c r="D30" s="259"/>
      <c r="E30" s="259"/>
      <c r="F30" s="87" t="s">
        <v>27</v>
      </c>
      <c r="G30" s="242"/>
      <c r="H30" s="100">
        <v>17</v>
      </c>
      <c r="I30" s="88"/>
      <c r="J30" s="91">
        <v>5</v>
      </c>
      <c r="K30" s="92">
        <f t="shared" si="3"/>
        <v>12</v>
      </c>
    </row>
    <row r="31" spans="2:21" x14ac:dyDescent="0.25">
      <c r="B31" s="251"/>
      <c r="C31" s="87" t="s">
        <v>34</v>
      </c>
      <c r="D31" s="259"/>
      <c r="E31" s="259"/>
      <c r="F31" s="87" t="s">
        <v>27</v>
      </c>
      <c r="G31" s="242"/>
      <c r="H31" s="100">
        <v>13</v>
      </c>
      <c r="I31" s="88"/>
      <c r="J31" s="91">
        <v>4</v>
      </c>
      <c r="K31" s="92">
        <f t="shared" si="3"/>
        <v>9</v>
      </c>
    </row>
    <row r="32" spans="2:21" x14ac:dyDescent="0.25">
      <c r="B32" s="251"/>
      <c r="C32" s="87" t="s">
        <v>35</v>
      </c>
      <c r="D32" s="259"/>
      <c r="E32" s="259"/>
      <c r="F32" s="87" t="s">
        <v>27</v>
      </c>
      <c r="G32" s="242"/>
      <c r="H32" s="100">
        <v>14</v>
      </c>
      <c r="I32" s="88"/>
      <c r="J32" s="91">
        <v>4</v>
      </c>
      <c r="K32" s="92">
        <f t="shared" si="3"/>
        <v>10</v>
      </c>
    </row>
    <row r="33" spans="2:11" x14ac:dyDescent="0.25">
      <c r="B33" s="251">
        <v>1</v>
      </c>
      <c r="C33" s="105" t="s">
        <v>36</v>
      </c>
      <c r="D33" s="261" t="s">
        <v>29</v>
      </c>
      <c r="E33" s="261" t="s">
        <v>12</v>
      </c>
      <c r="F33" s="106" t="s">
        <v>15</v>
      </c>
      <c r="G33" s="245" t="s">
        <v>25</v>
      </c>
      <c r="H33" s="95">
        <v>14</v>
      </c>
      <c r="I33" s="95"/>
      <c r="J33" s="98">
        <v>11</v>
      </c>
      <c r="K33" s="99">
        <v>3</v>
      </c>
    </row>
    <row r="34" spans="2:11" x14ac:dyDescent="0.25">
      <c r="B34" s="251"/>
      <c r="C34" s="87" t="s">
        <v>18</v>
      </c>
      <c r="D34" s="261"/>
      <c r="E34" s="261"/>
      <c r="F34" s="87" t="s">
        <v>37</v>
      </c>
      <c r="G34" s="245"/>
      <c r="H34" s="100">
        <v>14</v>
      </c>
      <c r="I34" s="88"/>
      <c r="J34" s="98">
        <v>11</v>
      </c>
      <c r="K34" s="99">
        <f>H34-J34</f>
        <v>3</v>
      </c>
    </row>
    <row r="35" spans="2:11" x14ac:dyDescent="0.25">
      <c r="B35" s="251"/>
      <c r="C35" s="87" t="s">
        <v>20</v>
      </c>
      <c r="D35" s="261"/>
      <c r="E35" s="261"/>
      <c r="F35" s="87" t="s">
        <v>37</v>
      </c>
      <c r="G35" s="245"/>
      <c r="H35" s="100">
        <v>14</v>
      </c>
      <c r="I35" s="88"/>
      <c r="J35" s="98">
        <v>11</v>
      </c>
      <c r="K35" s="99">
        <f t="shared" ref="K35:K39" si="4">H35-J35</f>
        <v>3</v>
      </c>
    </row>
    <row r="36" spans="2:11" x14ac:dyDescent="0.25">
      <c r="B36" s="251"/>
      <c r="C36" s="87" t="s">
        <v>21</v>
      </c>
      <c r="D36" s="261"/>
      <c r="E36" s="261"/>
      <c r="F36" s="87" t="s">
        <v>37</v>
      </c>
      <c r="G36" s="245"/>
      <c r="H36" s="100">
        <v>14</v>
      </c>
      <c r="I36" s="88"/>
      <c r="J36" s="98">
        <v>11</v>
      </c>
      <c r="K36" s="99">
        <f t="shared" si="4"/>
        <v>3</v>
      </c>
    </row>
    <row r="37" spans="2:11" x14ac:dyDescent="0.25">
      <c r="B37" s="251"/>
      <c r="C37" s="87" t="s">
        <v>22</v>
      </c>
      <c r="D37" s="261"/>
      <c r="E37" s="261"/>
      <c r="F37" s="87" t="s">
        <v>37</v>
      </c>
      <c r="G37" s="245"/>
      <c r="H37" s="100">
        <v>14</v>
      </c>
      <c r="I37" s="88"/>
      <c r="J37" s="98">
        <v>11</v>
      </c>
      <c r="K37" s="99">
        <f t="shared" si="4"/>
        <v>3</v>
      </c>
    </row>
    <row r="38" spans="2:11" x14ac:dyDescent="0.25">
      <c r="B38" s="251"/>
      <c r="C38" s="87" t="s">
        <v>23</v>
      </c>
      <c r="D38" s="261"/>
      <c r="E38" s="261"/>
      <c r="F38" s="87" t="s">
        <v>37</v>
      </c>
      <c r="G38" s="245"/>
      <c r="H38" s="100">
        <v>14</v>
      </c>
      <c r="I38" s="88"/>
      <c r="J38" s="98">
        <v>11</v>
      </c>
      <c r="K38" s="99">
        <f t="shared" si="4"/>
        <v>3</v>
      </c>
    </row>
    <row r="39" spans="2:11" x14ac:dyDescent="0.25">
      <c r="B39" s="251"/>
      <c r="C39" s="87" t="s">
        <v>38</v>
      </c>
      <c r="D39" s="261"/>
      <c r="E39" s="261"/>
      <c r="F39" s="87" t="s">
        <v>37</v>
      </c>
      <c r="G39" s="245"/>
      <c r="H39" s="100">
        <v>14</v>
      </c>
      <c r="I39" s="88"/>
      <c r="J39" s="98">
        <v>11</v>
      </c>
      <c r="K39" s="99">
        <f t="shared" si="4"/>
        <v>3</v>
      </c>
    </row>
    <row r="40" spans="2:11" x14ac:dyDescent="0.25">
      <c r="B40" s="251">
        <v>1</v>
      </c>
      <c r="C40" s="105" t="s">
        <v>39</v>
      </c>
      <c r="D40" s="261" t="s">
        <v>14</v>
      </c>
      <c r="E40" s="261" t="s">
        <v>12</v>
      </c>
      <c r="F40" s="106" t="s">
        <v>15</v>
      </c>
      <c r="G40" s="245" t="s">
        <v>16</v>
      </c>
      <c r="H40" s="95">
        <v>10</v>
      </c>
      <c r="I40" s="98"/>
      <c r="J40" s="98">
        <v>3</v>
      </c>
      <c r="K40" s="99">
        <v>7</v>
      </c>
    </row>
    <row r="41" spans="2:11" x14ac:dyDescent="0.25">
      <c r="B41" s="251"/>
      <c r="C41" s="87" t="s">
        <v>40</v>
      </c>
      <c r="D41" s="261"/>
      <c r="E41" s="261"/>
      <c r="F41" s="87" t="s">
        <v>41</v>
      </c>
      <c r="G41" s="245"/>
      <c r="H41" s="100">
        <v>12</v>
      </c>
      <c r="I41" s="88"/>
      <c r="J41" s="98">
        <v>3</v>
      </c>
      <c r="K41" s="99">
        <v>7</v>
      </c>
    </row>
    <row r="42" spans="2:11" x14ac:dyDescent="0.25">
      <c r="B42" s="251"/>
      <c r="C42" s="87" t="s">
        <v>20</v>
      </c>
      <c r="D42" s="261"/>
      <c r="E42" s="261"/>
      <c r="F42" s="87" t="s">
        <v>41</v>
      </c>
      <c r="G42" s="245"/>
      <c r="H42" s="100">
        <v>11</v>
      </c>
      <c r="I42" s="88"/>
      <c r="J42" s="98">
        <v>3</v>
      </c>
      <c r="K42" s="99">
        <f t="shared" ref="K42:K46" si="5">H42-J42</f>
        <v>8</v>
      </c>
    </row>
    <row r="43" spans="2:11" x14ac:dyDescent="0.25">
      <c r="B43" s="251"/>
      <c r="C43" s="87" t="s">
        <v>21</v>
      </c>
      <c r="D43" s="261"/>
      <c r="E43" s="261"/>
      <c r="F43" s="87" t="s">
        <v>41</v>
      </c>
      <c r="G43" s="245"/>
      <c r="H43" s="100">
        <v>10</v>
      </c>
      <c r="I43" s="88"/>
      <c r="J43" s="98">
        <v>3</v>
      </c>
      <c r="K43" s="99">
        <f t="shared" si="5"/>
        <v>7</v>
      </c>
    </row>
    <row r="44" spans="2:11" x14ac:dyDescent="0.25">
      <c r="B44" s="251"/>
      <c r="C44" s="87" t="s">
        <v>22</v>
      </c>
      <c r="D44" s="261"/>
      <c r="E44" s="261"/>
      <c r="F44" s="87" t="s">
        <v>41</v>
      </c>
      <c r="G44" s="245"/>
      <c r="H44" s="100">
        <v>10</v>
      </c>
      <c r="I44" s="88"/>
      <c r="J44" s="98">
        <v>3</v>
      </c>
      <c r="K44" s="99">
        <f t="shared" si="5"/>
        <v>7</v>
      </c>
    </row>
    <row r="45" spans="2:11" x14ac:dyDescent="0.25">
      <c r="B45" s="251"/>
      <c r="C45" s="87" t="s">
        <v>23</v>
      </c>
      <c r="D45" s="261"/>
      <c r="E45" s="261"/>
      <c r="F45" s="87" t="s">
        <v>41</v>
      </c>
      <c r="G45" s="245"/>
      <c r="H45" s="100">
        <v>10</v>
      </c>
      <c r="I45" s="88"/>
      <c r="J45" s="98">
        <v>3</v>
      </c>
      <c r="K45" s="99">
        <f t="shared" si="5"/>
        <v>7</v>
      </c>
    </row>
    <row r="46" spans="2:11" x14ac:dyDescent="0.25">
      <c r="B46" s="251"/>
      <c r="C46" s="87" t="s">
        <v>42</v>
      </c>
      <c r="D46" s="261"/>
      <c r="E46" s="261"/>
      <c r="F46" s="87" t="s">
        <v>41</v>
      </c>
      <c r="G46" s="245"/>
      <c r="H46" s="100">
        <v>11</v>
      </c>
      <c r="I46" s="88"/>
      <c r="J46" s="98">
        <v>3</v>
      </c>
      <c r="K46" s="99">
        <f t="shared" si="5"/>
        <v>8</v>
      </c>
    </row>
    <row r="47" spans="2:11" x14ac:dyDescent="0.25">
      <c r="B47" s="251">
        <v>1</v>
      </c>
      <c r="C47" s="105" t="s">
        <v>39</v>
      </c>
      <c r="D47" s="261" t="s">
        <v>14</v>
      </c>
      <c r="E47" s="261" t="s">
        <v>12</v>
      </c>
      <c r="F47" s="106" t="s">
        <v>43</v>
      </c>
      <c r="G47" s="245" t="s">
        <v>25</v>
      </c>
      <c r="H47" s="108">
        <v>12</v>
      </c>
      <c r="I47" s="108"/>
      <c r="J47" s="98">
        <v>7</v>
      </c>
      <c r="K47" s="99">
        <v>5</v>
      </c>
    </row>
    <row r="48" spans="2:11" x14ac:dyDescent="0.25">
      <c r="B48" s="251"/>
      <c r="C48" s="87" t="s">
        <v>40</v>
      </c>
      <c r="D48" s="261"/>
      <c r="E48" s="261"/>
      <c r="F48" s="87" t="s">
        <v>44</v>
      </c>
      <c r="G48" s="245"/>
      <c r="H48" s="95">
        <v>13</v>
      </c>
      <c r="I48" s="98"/>
      <c r="J48" s="98">
        <v>7</v>
      </c>
      <c r="K48" s="99">
        <f>H48-J48</f>
        <v>6</v>
      </c>
    </row>
    <row r="49" spans="2:11" x14ac:dyDescent="0.25">
      <c r="B49" s="251"/>
      <c r="C49" s="87" t="s">
        <v>20</v>
      </c>
      <c r="D49" s="261"/>
      <c r="E49" s="261"/>
      <c r="F49" s="87" t="s">
        <v>44</v>
      </c>
      <c r="G49" s="245"/>
      <c r="H49" s="95">
        <v>12</v>
      </c>
      <c r="I49" s="98"/>
      <c r="J49" s="98">
        <v>7</v>
      </c>
      <c r="K49" s="99">
        <f t="shared" ref="K49:K53" si="6">H49-J49</f>
        <v>5</v>
      </c>
    </row>
    <row r="50" spans="2:11" x14ac:dyDescent="0.25">
      <c r="B50" s="251"/>
      <c r="C50" s="87" t="s">
        <v>21</v>
      </c>
      <c r="D50" s="261"/>
      <c r="E50" s="261"/>
      <c r="F50" s="87" t="s">
        <v>44</v>
      </c>
      <c r="G50" s="245"/>
      <c r="H50" s="95">
        <v>12</v>
      </c>
      <c r="I50" s="98"/>
      <c r="J50" s="98">
        <v>7</v>
      </c>
      <c r="K50" s="99">
        <f t="shared" si="6"/>
        <v>5</v>
      </c>
    </row>
    <row r="51" spans="2:11" x14ac:dyDescent="0.25">
      <c r="B51" s="251"/>
      <c r="C51" s="87" t="s">
        <v>22</v>
      </c>
      <c r="D51" s="261"/>
      <c r="E51" s="261"/>
      <c r="F51" s="87" t="s">
        <v>44</v>
      </c>
      <c r="G51" s="245"/>
      <c r="H51" s="95">
        <v>12</v>
      </c>
      <c r="I51" s="98"/>
      <c r="J51" s="98">
        <v>7</v>
      </c>
      <c r="K51" s="99">
        <f t="shared" si="6"/>
        <v>5</v>
      </c>
    </row>
    <row r="52" spans="2:11" x14ac:dyDescent="0.25">
      <c r="B52" s="251"/>
      <c r="C52" s="87" t="s">
        <v>23</v>
      </c>
      <c r="D52" s="261"/>
      <c r="E52" s="261"/>
      <c r="F52" s="87" t="s">
        <v>44</v>
      </c>
      <c r="G52" s="245"/>
      <c r="H52" s="95">
        <v>12</v>
      </c>
      <c r="I52" s="98"/>
      <c r="J52" s="98">
        <v>7</v>
      </c>
      <c r="K52" s="99">
        <f t="shared" si="6"/>
        <v>5</v>
      </c>
    </row>
    <row r="53" spans="2:11" x14ac:dyDescent="0.25">
      <c r="B53" s="251"/>
      <c r="C53" s="87" t="s">
        <v>42</v>
      </c>
      <c r="D53" s="261"/>
      <c r="E53" s="261"/>
      <c r="F53" s="87" t="s">
        <v>44</v>
      </c>
      <c r="G53" s="245"/>
      <c r="H53" s="95">
        <v>15</v>
      </c>
      <c r="I53" s="98"/>
      <c r="J53" s="98">
        <v>7</v>
      </c>
      <c r="K53" s="99">
        <f t="shared" si="6"/>
        <v>8</v>
      </c>
    </row>
    <row r="54" spans="2:11" x14ac:dyDescent="0.25">
      <c r="B54" s="251">
        <v>1</v>
      </c>
      <c r="C54" s="81" t="s">
        <v>39</v>
      </c>
      <c r="D54" s="258" t="s">
        <v>14</v>
      </c>
      <c r="E54" s="258" t="s">
        <v>1</v>
      </c>
      <c r="F54" s="82" t="s">
        <v>15</v>
      </c>
      <c r="G54" s="246" t="s">
        <v>16</v>
      </c>
      <c r="H54" s="109">
        <v>28</v>
      </c>
      <c r="I54" s="84"/>
      <c r="J54" s="84">
        <v>2</v>
      </c>
      <c r="K54" s="110">
        <v>25</v>
      </c>
    </row>
    <row r="55" spans="2:11" x14ac:dyDescent="0.25">
      <c r="B55" s="251"/>
      <c r="C55" s="87" t="s">
        <v>40</v>
      </c>
      <c r="D55" s="258"/>
      <c r="E55" s="258"/>
      <c r="F55" s="87" t="s">
        <v>19</v>
      </c>
      <c r="G55" s="246"/>
      <c r="H55" s="100">
        <v>34</v>
      </c>
      <c r="I55" s="88"/>
      <c r="J55" s="84">
        <v>2</v>
      </c>
      <c r="K55" s="85">
        <f>H55-J55</f>
        <v>32</v>
      </c>
    </row>
    <row r="56" spans="2:11" x14ac:dyDescent="0.25">
      <c r="B56" s="251"/>
      <c r="C56" s="87" t="s">
        <v>20</v>
      </c>
      <c r="D56" s="258"/>
      <c r="E56" s="258"/>
      <c r="F56" s="87" t="s">
        <v>19</v>
      </c>
      <c r="G56" s="246"/>
      <c r="H56" s="100">
        <v>29</v>
      </c>
      <c r="I56" s="88"/>
      <c r="J56" s="84">
        <v>2</v>
      </c>
      <c r="K56" s="85">
        <f t="shared" ref="K56:K60" si="7">H56-J56</f>
        <v>27</v>
      </c>
    </row>
    <row r="57" spans="2:11" x14ac:dyDescent="0.25">
      <c r="B57" s="251"/>
      <c r="C57" s="87" t="s">
        <v>21</v>
      </c>
      <c r="D57" s="258"/>
      <c r="E57" s="258"/>
      <c r="F57" s="87" t="s">
        <v>19</v>
      </c>
      <c r="G57" s="246"/>
      <c r="H57" s="100">
        <v>28</v>
      </c>
      <c r="I57" s="88"/>
      <c r="J57" s="84">
        <v>2</v>
      </c>
      <c r="K57" s="85">
        <f t="shared" si="7"/>
        <v>26</v>
      </c>
    </row>
    <row r="58" spans="2:11" x14ac:dyDescent="0.25">
      <c r="B58" s="251"/>
      <c r="C58" s="87" t="s">
        <v>22</v>
      </c>
      <c r="D58" s="258"/>
      <c r="E58" s="258"/>
      <c r="F58" s="87" t="s">
        <v>19</v>
      </c>
      <c r="G58" s="246"/>
      <c r="H58" s="100">
        <v>28</v>
      </c>
      <c r="I58" s="88"/>
      <c r="J58" s="84">
        <v>2</v>
      </c>
      <c r="K58" s="85">
        <f t="shared" si="7"/>
        <v>26</v>
      </c>
    </row>
    <row r="59" spans="2:11" x14ac:dyDescent="0.25">
      <c r="B59" s="251"/>
      <c r="C59" s="87" t="s">
        <v>23</v>
      </c>
      <c r="D59" s="258"/>
      <c r="E59" s="258"/>
      <c r="F59" s="87" t="s">
        <v>19</v>
      </c>
      <c r="G59" s="246"/>
      <c r="H59" s="100">
        <v>29</v>
      </c>
      <c r="I59" s="88"/>
      <c r="J59" s="84">
        <v>2</v>
      </c>
      <c r="K59" s="85">
        <f t="shared" si="7"/>
        <v>27</v>
      </c>
    </row>
    <row r="60" spans="2:11" x14ac:dyDescent="0.25">
      <c r="B60" s="251"/>
      <c r="C60" s="87" t="s">
        <v>42</v>
      </c>
      <c r="D60" s="258"/>
      <c r="E60" s="258"/>
      <c r="F60" s="87" t="s">
        <v>19</v>
      </c>
      <c r="G60" s="246"/>
      <c r="H60" s="100">
        <v>28</v>
      </c>
      <c r="I60" s="88"/>
      <c r="J60" s="84">
        <v>2</v>
      </c>
      <c r="K60" s="85">
        <f t="shared" si="7"/>
        <v>26</v>
      </c>
    </row>
    <row r="61" spans="2:11" x14ac:dyDescent="0.25">
      <c r="B61" s="251">
        <v>1</v>
      </c>
      <c r="C61" s="81" t="s">
        <v>39</v>
      </c>
      <c r="D61" s="258" t="s">
        <v>14</v>
      </c>
      <c r="E61" s="258" t="s">
        <v>1</v>
      </c>
      <c r="F61" s="82" t="s">
        <v>43</v>
      </c>
      <c r="G61" s="246" t="s">
        <v>25</v>
      </c>
      <c r="H61" s="109">
        <v>18</v>
      </c>
      <c r="I61" s="84"/>
      <c r="J61" s="84">
        <v>4</v>
      </c>
      <c r="K61" s="110">
        <v>15</v>
      </c>
    </row>
    <row r="62" spans="2:11" x14ac:dyDescent="0.25">
      <c r="B62" s="251"/>
      <c r="C62" s="87" t="s">
        <v>40</v>
      </c>
      <c r="D62" s="258"/>
      <c r="E62" s="258"/>
      <c r="F62" s="87" t="s">
        <v>45</v>
      </c>
      <c r="G62" s="246"/>
      <c r="H62" s="100">
        <v>19</v>
      </c>
      <c r="I62" s="88"/>
      <c r="J62" s="84">
        <v>4</v>
      </c>
      <c r="K62" s="85">
        <f>H62-J62</f>
        <v>15</v>
      </c>
    </row>
    <row r="63" spans="2:11" x14ac:dyDescent="0.25">
      <c r="B63" s="251"/>
      <c r="C63" s="87" t="s">
        <v>20</v>
      </c>
      <c r="D63" s="258"/>
      <c r="E63" s="258"/>
      <c r="F63" s="87" t="s">
        <v>45</v>
      </c>
      <c r="G63" s="246"/>
      <c r="H63" s="100">
        <v>21</v>
      </c>
      <c r="I63" s="88"/>
      <c r="J63" s="84">
        <v>4</v>
      </c>
      <c r="K63" s="85">
        <f t="shared" ref="K63:K67" si="8">H63-J63</f>
        <v>17</v>
      </c>
    </row>
    <row r="64" spans="2:11" x14ac:dyDescent="0.25">
      <c r="B64" s="251"/>
      <c r="C64" s="87" t="s">
        <v>21</v>
      </c>
      <c r="D64" s="258"/>
      <c r="E64" s="258"/>
      <c r="F64" s="87" t="s">
        <v>45</v>
      </c>
      <c r="G64" s="246"/>
      <c r="H64" s="100">
        <v>19</v>
      </c>
      <c r="I64" s="88"/>
      <c r="J64" s="84">
        <v>4</v>
      </c>
      <c r="K64" s="85">
        <f t="shared" si="8"/>
        <v>15</v>
      </c>
    </row>
    <row r="65" spans="2:11" x14ac:dyDescent="0.25">
      <c r="B65" s="251"/>
      <c r="C65" s="87" t="s">
        <v>22</v>
      </c>
      <c r="D65" s="258"/>
      <c r="E65" s="258"/>
      <c r="F65" s="87" t="s">
        <v>45</v>
      </c>
      <c r="G65" s="246"/>
      <c r="H65" s="100">
        <v>18</v>
      </c>
      <c r="I65" s="88"/>
      <c r="J65" s="84">
        <v>3</v>
      </c>
      <c r="K65" s="85">
        <f t="shared" si="8"/>
        <v>15</v>
      </c>
    </row>
    <row r="66" spans="2:11" x14ac:dyDescent="0.25">
      <c r="B66" s="251"/>
      <c r="C66" s="87" t="s">
        <v>23</v>
      </c>
      <c r="D66" s="258"/>
      <c r="E66" s="258"/>
      <c r="F66" s="87" t="s">
        <v>45</v>
      </c>
      <c r="G66" s="246"/>
      <c r="H66" s="100">
        <v>18</v>
      </c>
      <c r="I66" s="88"/>
      <c r="J66" s="84">
        <v>3</v>
      </c>
      <c r="K66" s="85">
        <f t="shared" si="8"/>
        <v>15</v>
      </c>
    </row>
    <row r="67" spans="2:11" x14ac:dyDescent="0.25">
      <c r="B67" s="251"/>
      <c r="C67" s="87" t="s">
        <v>42</v>
      </c>
      <c r="D67" s="258"/>
      <c r="E67" s="258"/>
      <c r="F67" s="87" t="s">
        <v>45</v>
      </c>
      <c r="G67" s="246"/>
      <c r="H67" s="100">
        <v>18</v>
      </c>
      <c r="I67" s="88"/>
      <c r="J67" s="84">
        <v>3</v>
      </c>
      <c r="K67" s="85">
        <f t="shared" si="8"/>
        <v>15</v>
      </c>
    </row>
    <row r="68" spans="2:11" x14ac:dyDescent="0.25">
      <c r="B68" s="251">
        <v>1</v>
      </c>
      <c r="C68" s="89" t="s">
        <v>39</v>
      </c>
      <c r="D68" s="259" t="s">
        <v>14</v>
      </c>
      <c r="E68" s="259" t="s">
        <v>17</v>
      </c>
      <c r="F68" s="90" t="s">
        <v>15</v>
      </c>
      <c r="G68" s="242" t="s">
        <v>16</v>
      </c>
      <c r="H68" s="109">
        <v>12</v>
      </c>
      <c r="I68" s="235">
        <v>4</v>
      </c>
      <c r="J68" s="236"/>
      <c r="K68" s="110">
        <v>8</v>
      </c>
    </row>
    <row r="69" spans="2:11" x14ac:dyDescent="0.25">
      <c r="B69" s="251"/>
      <c r="C69" s="87" t="s">
        <v>40</v>
      </c>
      <c r="D69" s="259"/>
      <c r="E69" s="259"/>
      <c r="F69" s="87" t="s">
        <v>27</v>
      </c>
      <c r="G69" s="242"/>
      <c r="H69" s="100">
        <v>17</v>
      </c>
      <c r="I69" s="88">
        <v>1</v>
      </c>
      <c r="J69" s="91">
        <v>3</v>
      </c>
      <c r="K69" s="92">
        <f>H69-J69-I69</f>
        <v>13</v>
      </c>
    </row>
    <row r="70" spans="2:11" x14ac:dyDescent="0.25">
      <c r="B70" s="251"/>
      <c r="C70" s="87" t="s">
        <v>20</v>
      </c>
      <c r="D70" s="259"/>
      <c r="E70" s="259"/>
      <c r="F70" s="87" t="s">
        <v>27</v>
      </c>
      <c r="G70" s="242"/>
      <c r="H70" s="100">
        <v>12</v>
      </c>
      <c r="I70" s="88">
        <v>1</v>
      </c>
      <c r="J70" s="91">
        <v>3</v>
      </c>
      <c r="K70" s="92">
        <f t="shared" ref="K70:K74" si="9">H70-J70-I70</f>
        <v>8</v>
      </c>
    </row>
    <row r="71" spans="2:11" x14ac:dyDescent="0.25">
      <c r="B71" s="251"/>
      <c r="C71" s="87" t="s">
        <v>21</v>
      </c>
      <c r="D71" s="259"/>
      <c r="E71" s="259"/>
      <c r="F71" s="87" t="s">
        <v>27</v>
      </c>
      <c r="G71" s="242"/>
      <c r="H71" s="100">
        <v>12</v>
      </c>
      <c r="I71" s="88">
        <v>1</v>
      </c>
      <c r="J71" s="91">
        <v>3</v>
      </c>
      <c r="K71" s="92">
        <f t="shared" si="9"/>
        <v>8</v>
      </c>
    </row>
    <row r="72" spans="2:11" x14ac:dyDescent="0.25">
      <c r="B72" s="251"/>
      <c r="C72" s="87" t="s">
        <v>22</v>
      </c>
      <c r="D72" s="259"/>
      <c r="E72" s="259"/>
      <c r="F72" s="87" t="s">
        <v>27</v>
      </c>
      <c r="G72" s="242"/>
      <c r="H72" s="100">
        <v>11</v>
      </c>
      <c r="I72" s="88">
        <v>1</v>
      </c>
      <c r="J72" s="91">
        <v>3</v>
      </c>
      <c r="K72" s="92">
        <f t="shared" si="9"/>
        <v>7</v>
      </c>
    </row>
    <row r="73" spans="2:11" x14ac:dyDescent="0.25">
      <c r="B73" s="251"/>
      <c r="C73" s="87" t="s">
        <v>23</v>
      </c>
      <c r="D73" s="259"/>
      <c r="E73" s="259"/>
      <c r="F73" s="87" t="s">
        <v>27</v>
      </c>
      <c r="G73" s="242"/>
      <c r="H73" s="100">
        <v>12</v>
      </c>
      <c r="I73" s="88">
        <v>1</v>
      </c>
      <c r="J73" s="91">
        <v>3</v>
      </c>
      <c r="K73" s="92">
        <f t="shared" si="9"/>
        <v>8</v>
      </c>
    </row>
    <row r="74" spans="2:11" x14ac:dyDescent="0.25">
      <c r="B74" s="251"/>
      <c r="C74" s="87" t="s">
        <v>42</v>
      </c>
      <c r="D74" s="259"/>
      <c r="E74" s="259"/>
      <c r="F74" s="87" t="s">
        <v>27</v>
      </c>
      <c r="G74" s="242"/>
      <c r="H74" s="100">
        <v>13</v>
      </c>
      <c r="I74" s="88">
        <v>1</v>
      </c>
      <c r="J74" s="91">
        <v>3</v>
      </c>
      <c r="K74" s="92">
        <f t="shared" si="9"/>
        <v>9</v>
      </c>
    </row>
    <row r="75" spans="2:11" x14ac:dyDescent="0.25">
      <c r="B75" s="251">
        <v>1</v>
      </c>
      <c r="C75" s="89" t="s">
        <v>39</v>
      </c>
      <c r="D75" s="259" t="s">
        <v>14</v>
      </c>
      <c r="E75" s="259" t="s">
        <v>17</v>
      </c>
      <c r="F75" s="90" t="s">
        <v>43</v>
      </c>
      <c r="G75" s="242" t="s">
        <v>25</v>
      </c>
      <c r="H75" s="109">
        <v>8</v>
      </c>
      <c r="I75" s="111"/>
      <c r="J75" s="112">
        <v>1</v>
      </c>
      <c r="K75" s="110">
        <v>7</v>
      </c>
    </row>
    <row r="76" spans="2:11" x14ac:dyDescent="0.25">
      <c r="B76" s="251"/>
      <c r="C76" s="87" t="s">
        <v>40</v>
      </c>
      <c r="D76" s="259"/>
      <c r="E76" s="259"/>
      <c r="F76" s="87" t="s">
        <v>46</v>
      </c>
      <c r="G76" s="242"/>
      <c r="H76" s="100">
        <v>10</v>
      </c>
      <c r="I76" s="88"/>
      <c r="J76" s="95">
        <v>1</v>
      </c>
      <c r="K76" s="92">
        <f>H76-J76</f>
        <v>9</v>
      </c>
    </row>
    <row r="77" spans="2:11" x14ac:dyDescent="0.25">
      <c r="B77" s="251"/>
      <c r="C77" s="87" t="s">
        <v>20</v>
      </c>
      <c r="D77" s="259"/>
      <c r="E77" s="259"/>
      <c r="F77" s="87" t="s">
        <v>46</v>
      </c>
      <c r="G77" s="242"/>
      <c r="H77" s="100">
        <v>8</v>
      </c>
      <c r="I77" s="88"/>
      <c r="J77" s="91">
        <v>1</v>
      </c>
      <c r="K77" s="92">
        <f t="shared" ref="K77:K81" si="10">H77-J77</f>
        <v>7</v>
      </c>
    </row>
    <row r="78" spans="2:11" x14ac:dyDescent="0.25">
      <c r="B78" s="251"/>
      <c r="C78" s="87" t="s">
        <v>21</v>
      </c>
      <c r="D78" s="259"/>
      <c r="E78" s="259"/>
      <c r="F78" s="87" t="s">
        <v>46</v>
      </c>
      <c r="G78" s="242"/>
      <c r="H78" s="100">
        <v>8</v>
      </c>
      <c r="I78" s="88"/>
      <c r="J78" s="91">
        <v>1</v>
      </c>
      <c r="K78" s="92">
        <f t="shared" si="10"/>
        <v>7</v>
      </c>
    </row>
    <row r="79" spans="2:11" x14ac:dyDescent="0.25">
      <c r="B79" s="251"/>
      <c r="C79" s="87" t="s">
        <v>22</v>
      </c>
      <c r="D79" s="259"/>
      <c r="E79" s="259"/>
      <c r="F79" s="87" t="s">
        <v>46</v>
      </c>
      <c r="G79" s="242"/>
      <c r="H79" s="100">
        <v>8</v>
      </c>
      <c r="I79" s="88"/>
      <c r="J79" s="91">
        <v>1</v>
      </c>
      <c r="K79" s="92">
        <f t="shared" si="10"/>
        <v>7</v>
      </c>
    </row>
    <row r="80" spans="2:11" x14ac:dyDescent="0.25">
      <c r="B80" s="251"/>
      <c r="C80" s="87" t="s">
        <v>23</v>
      </c>
      <c r="D80" s="259"/>
      <c r="E80" s="259"/>
      <c r="F80" s="87" t="s">
        <v>46</v>
      </c>
      <c r="G80" s="242"/>
      <c r="H80" s="100">
        <v>8</v>
      </c>
      <c r="I80" s="88"/>
      <c r="J80" s="91">
        <v>1</v>
      </c>
      <c r="K80" s="92">
        <f t="shared" si="10"/>
        <v>7</v>
      </c>
    </row>
    <row r="81" spans="2:11" x14ac:dyDescent="0.25">
      <c r="B81" s="251"/>
      <c r="C81" s="87" t="s">
        <v>42</v>
      </c>
      <c r="D81" s="259"/>
      <c r="E81" s="259"/>
      <c r="F81" s="87" t="s">
        <v>46</v>
      </c>
      <c r="G81" s="242"/>
      <c r="H81" s="100">
        <v>10</v>
      </c>
      <c r="I81" s="88"/>
      <c r="J81" s="91">
        <v>1</v>
      </c>
      <c r="K81" s="92">
        <f t="shared" si="10"/>
        <v>9</v>
      </c>
    </row>
    <row r="82" spans="2:11" x14ac:dyDescent="0.25">
      <c r="B82" s="251">
        <v>1</v>
      </c>
      <c r="C82" s="89" t="s">
        <v>47</v>
      </c>
      <c r="D82" s="259" t="s">
        <v>29</v>
      </c>
      <c r="E82" s="259" t="s">
        <v>17</v>
      </c>
      <c r="F82" s="90" t="s">
        <v>48</v>
      </c>
      <c r="G82" s="113"/>
      <c r="H82" s="109">
        <v>50</v>
      </c>
      <c r="I82" s="91"/>
      <c r="J82" s="109">
        <v>14</v>
      </c>
      <c r="K82" s="110">
        <v>36</v>
      </c>
    </row>
    <row r="83" spans="2:11" x14ac:dyDescent="0.25">
      <c r="B83" s="251"/>
      <c r="C83" s="87" t="s">
        <v>40</v>
      </c>
      <c r="D83" s="259"/>
      <c r="E83" s="259"/>
      <c r="F83" s="87" t="s">
        <v>49</v>
      </c>
      <c r="G83" s="247" t="s">
        <v>25</v>
      </c>
      <c r="H83" s="100">
        <v>50</v>
      </c>
      <c r="I83" s="88"/>
      <c r="J83" s="91">
        <v>14</v>
      </c>
      <c r="K83" s="92">
        <f>H83-J83</f>
        <v>36</v>
      </c>
    </row>
    <row r="84" spans="2:11" x14ac:dyDescent="0.25">
      <c r="B84" s="251"/>
      <c r="C84" s="87" t="s">
        <v>20</v>
      </c>
      <c r="D84" s="259"/>
      <c r="E84" s="259"/>
      <c r="F84" s="87" t="s">
        <v>49</v>
      </c>
      <c r="G84" s="248"/>
      <c r="H84" s="100">
        <v>50</v>
      </c>
      <c r="I84" s="88"/>
      <c r="J84" s="91">
        <v>14</v>
      </c>
      <c r="K84" s="92">
        <f t="shared" ref="K84:K88" si="11">H84-J84</f>
        <v>36</v>
      </c>
    </row>
    <row r="85" spans="2:11" x14ac:dyDescent="0.25">
      <c r="B85" s="251"/>
      <c r="C85" s="87" t="s">
        <v>21</v>
      </c>
      <c r="D85" s="259"/>
      <c r="E85" s="259"/>
      <c r="F85" s="87" t="s">
        <v>49</v>
      </c>
      <c r="G85" s="248"/>
      <c r="H85" s="100">
        <v>50</v>
      </c>
      <c r="I85" s="88"/>
      <c r="J85" s="91">
        <v>14</v>
      </c>
      <c r="K85" s="92">
        <f t="shared" si="11"/>
        <v>36</v>
      </c>
    </row>
    <row r="86" spans="2:11" x14ac:dyDescent="0.25">
      <c r="B86" s="251"/>
      <c r="C86" s="87" t="s">
        <v>22</v>
      </c>
      <c r="D86" s="259"/>
      <c r="E86" s="259"/>
      <c r="F86" s="87" t="s">
        <v>49</v>
      </c>
      <c r="G86" s="248"/>
      <c r="H86" s="100">
        <v>50</v>
      </c>
      <c r="I86" s="88"/>
      <c r="J86" s="91">
        <v>14</v>
      </c>
      <c r="K86" s="92">
        <f t="shared" si="11"/>
        <v>36</v>
      </c>
    </row>
    <row r="87" spans="2:11" x14ac:dyDescent="0.25">
      <c r="B87" s="251"/>
      <c r="C87" s="87" t="s">
        <v>23</v>
      </c>
      <c r="D87" s="259"/>
      <c r="E87" s="259"/>
      <c r="F87" s="87" t="s">
        <v>49</v>
      </c>
      <c r="G87" s="248"/>
      <c r="H87" s="100">
        <v>50</v>
      </c>
      <c r="I87" s="88"/>
      <c r="J87" s="91">
        <v>14</v>
      </c>
      <c r="K87" s="92">
        <f t="shared" si="11"/>
        <v>36</v>
      </c>
    </row>
    <row r="88" spans="2:11" x14ac:dyDescent="0.25">
      <c r="B88" s="251"/>
      <c r="C88" s="87" t="s">
        <v>42</v>
      </c>
      <c r="D88" s="259"/>
      <c r="E88" s="259"/>
      <c r="F88" s="87" t="s">
        <v>49</v>
      </c>
      <c r="G88" s="249"/>
      <c r="H88" s="100">
        <v>51</v>
      </c>
      <c r="I88" s="88"/>
      <c r="J88" s="91">
        <v>14</v>
      </c>
      <c r="K88" s="92">
        <f t="shared" si="11"/>
        <v>37</v>
      </c>
    </row>
    <row r="89" spans="2:11" x14ac:dyDescent="0.25">
      <c r="B89" s="251">
        <v>1</v>
      </c>
      <c r="C89" s="89" t="s">
        <v>47</v>
      </c>
      <c r="D89" s="259" t="s">
        <v>29</v>
      </c>
      <c r="E89" s="259" t="s">
        <v>17</v>
      </c>
      <c r="F89" s="90" t="s">
        <v>50</v>
      </c>
      <c r="G89" s="113"/>
      <c r="H89" s="109">
        <v>41</v>
      </c>
      <c r="I89" s="91"/>
      <c r="J89" s="109">
        <v>13</v>
      </c>
      <c r="K89" s="110">
        <v>28</v>
      </c>
    </row>
    <row r="90" spans="2:11" x14ac:dyDescent="0.25">
      <c r="B90" s="251"/>
      <c r="C90" s="87" t="s">
        <v>40</v>
      </c>
      <c r="D90" s="259"/>
      <c r="E90" s="259"/>
      <c r="F90" s="87" t="s">
        <v>51</v>
      </c>
      <c r="G90" s="247" t="s">
        <v>25</v>
      </c>
      <c r="H90" s="100">
        <v>42</v>
      </c>
      <c r="I90" s="88"/>
      <c r="J90" s="91">
        <v>13</v>
      </c>
      <c r="K90" s="92">
        <f>H90-J90</f>
        <v>29</v>
      </c>
    </row>
    <row r="91" spans="2:11" x14ac:dyDescent="0.25">
      <c r="B91" s="251"/>
      <c r="C91" s="87" t="s">
        <v>20</v>
      </c>
      <c r="D91" s="259"/>
      <c r="E91" s="259"/>
      <c r="F91" s="87" t="s">
        <v>51</v>
      </c>
      <c r="G91" s="248"/>
      <c r="H91" s="100">
        <v>40</v>
      </c>
      <c r="I91" s="88"/>
      <c r="J91" s="91">
        <v>13</v>
      </c>
      <c r="K91" s="92">
        <f t="shared" ref="K91:K95" si="12">H91-J91</f>
        <v>27</v>
      </c>
    </row>
    <row r="92" spans="2:11" x14ac:dyDescent="0.25">
      <c r="B92" s="251"/>
      <c r="C92" s="87" t="s">
        <v>21</v>
      </c>
      <c r="D92" s="259"/>
      <c r="E92" s="259"/>
      <c r="F92" s="87" t="s">
        <v>51</v>
      </c>
      <c r="G92" s="248"/>
      <c r="H92" s="100">
        <v>41</v>
      </c>
      <c r="I92" s="88"/>
      <c r="J92" s="91">
        <v>13</v>
      </c>
      <c r="K92" s="92">
        <f t="shared" si="12"/>
        <v>28</v>
      </c>
    </row>
    <row r="93" spans="2:11" x14ac:dyDescent="0.25">
      <c r="B93" s="251"/>
      <c r="C93" s="87" t="s">
        <v>22</v>
      </c>
      <c r="D93" s="259"/>
      <c r="E93" s="259"/>
      <c r="F93" s="87" t="s">
        <v>51</v>
      </c>
      <c r="G93" s="248"/>
      <c r="H93" s="100">
        <v>40</v>
      </c>
      <c r="I93" s="88"/>
      <c r="J93" s="91">
        <v>13</v>
      </c>
      <c r="K93" s="92">
        <f t="shared" si="12"/>
        <v>27</v>
      </c>
    </row>
    <row r="94" spans="2:11" x14ac:dyDescent="0.25">
      <c r="B94" s="251"/>
      <c r="C94" s="87" t="s">
        <v>23</v>
      </c>
      <c r="D94" s="259"/>
      <c r="E94" s="259"/>
      <c r="F94" s="87" t="s">
        <v>51</v>
      </c>
      <c r="G94" s="248"/>
      <c r="H94" s="100">
        <v>42</v>
      </c>
      <c r="I94" s="88"/>
      <c r="J94" s="91">
        <v>13</v>
      </c>
      <c r="K94" s="92">
        <f t="shared" si="12"/>
        <v>29</v>
      </c>
    </row>
    <row r="95" spans="2:11" x14ac:dyDescent="0.25">
      <c r="B95" s="251"/>
      <c r="C95" s="87" t="s">
        <v>42</v>
      </c>
      <c r="D95" s="259"/>
      <c r="E95" s="259"/>
      <c r="F95" s="87" t="s">
        <v>51</v>
      </c>
      <c r="G95" s="249"/>
      <c r="H95" s="100">
        <v>41</v>
      </c>
      <c r="I95" s="88"/>
      <c r="J95" s="91">
        <v>13</v>
      </c>
      <c r="K95" s="92">
        <f t="shared" si="12"/>
        <v>28</v>
      </c>
    </row>
    <row r="96" spans="2:11" x14ac:dyDescent="0.25">
      <c r="B96" s="251">
        <v>1</v>
      </c>
      <c r="C96" s="89" t="s">
        <v>47</v>
      </c>
      <c r="D96" s="259" t="s">
        <v>29</v>
      </c>
      <c r="E96" s="259" t="s">
        <v>17</v>
      </c>
      <c r="F96" s="114" t="s">
        <v>52</v>
      </c>
      <c r="G96" s="247" t="s">
        <v>25</v>
      </c>
      <c r="H96" s="115">
        <v>23</v>
      </c>
      <c r="I96" s="115"/>
      <c r="J96" s="109">
        <v>12</v>
      </c>
      <c r="K96" s="110">
        <v>11</v>
      </c>
    </row>
    <row r="97" spans="2:11" x14ac:dyDescent="0.25">
      <c r="B97" s="251"/>
      <c r="C97" s="87" t="s">
        <v>40</v>
      </c>
      <c r="D97" s="259"/>
      <c r="E97" s="259"/>
      <c r="F97" s="87" t="s">
        <v>53</v>
      </c>
      <c r="G97" s="248"/>
      <c r="H97" s="100">
        <v>23</v>
      </c>
      <c r="I97" s="88"/>
      <c r="J97" s="91">
        <v>12</v>
      </c>
      <c r="K97" s="92">
        <f>H97-J97</f>
        <v>11</v>
      </c>
    </row>
    <row r="98" spans="2:11" x14ac:dyDescent="0.25">
      <c r="B98" s="251"/>
      <c r="C98" s="87" t="s">
        <v>20</v>
      </c>
      <c r="D98" s="259"/>
      <c r="E98" s="259"/>
      <c r="F98" s="87" t="s">
        <v>53</v>
      </c>
      <c r="G98" s="248"/>
      <c r="H98" s="100">
        <v>23</v>
      </c>
      <c r="I98" s="88"/>
      <c r="J98" s="91">
        <v>12</v>
      </c>
      <c r="K98" s="92">
        <f t="shared" ref="K98:K102" si="13">H98-J98</f>
        <v>11</v>
      </c>
    </row>
    <row r="99" spans="2:11" x14ac:dyDescent="0.25">
      <c r="B99" s="251"/>
      <c r="C99" s="87" t="s">
        <v>21</v>
      </c>
      <c r="D99" s="259"/>
      <c r="E99" s="259"/>
      <c r="F99" s="87" t="s">
        <v>53</v>
      </c>
      <c r="G99" s="248"/>
      <c r="H99" s="100">
        <v>23</v>
      </c>
      <c r="I99" s="88"/>
      <c r="J99" s="91">
        <v>12</v>
      </c>
      <c r="K99" s="92">
        <f t="shared" si="13"/>
        <v>11</v>
      </c>
    </row>
    <row r="100" spans="2:11" x14ac:dyDescent="0.25">
      <c r="B100" s="251"/>
      <c r="C100" s="87" t="s">
        <v>22</v>
      </c>
      <c r="D100" s="259"/>
      <c r="E100" s="259"/>
      <c r="F100" s="87" t="s">
        <v>53</v>
      </c>
      <c r="G100" s="248"/>
      <c r="H100" s="100">
        <v>23</v>
      </c>
      <c r="I100" s="88"/>
      <c r="J100" s="91">
        <v>12</v>
      </c>
      <c r="K100" s="92">
        <f t="shared" si="13"/>
        <v>11</v>
      </c>
    </row>
    <row r="101" spans="2:11" x14ac:dyDescent="0.25">
      <c r="B101" s="251"/>
      <c r="C101" s="87" t="s">
        <v>23</v>
      </c>
      <c r="D101" s="259"/>
      <c r="E101" s="259"/>
      <c r="F101" s="87" t="s">
        <v>53</v>
      </c>
      <c r="G101" s="248"/>
      <c r="H101" s="100">
        <v>23</v>
      </c>
      <c r="I101" s="88"/>
      <c r="J101" s="91">
        <v>12</v>
      </c>
      <c r="K101" s="92">
        <f t="shared" si="13"/>
        <v>11</v>
      </c>
    </row>
    <row r="102" spans="2:11" x14ac:dyDescent="0.25">
      <c r="B102" s="251"/>
      <c r="C102" s="87" t="s">
        <v>42</v>
      </c>
      <c r="D102" s="259"/>
      <c r="E102" s="259"/>
      <c r="F102" s="87" t="s">
        <v>53</v>
      </c>
      <c r="G102" s="249"/>
      <c r="H102" s="100">
        <v>23</v>
      </c>
      <c r="I102" s="88"/>
      <c r="J102" s="91">
        <v>12</v>
      </c>
      <c r="K102" s="92">
        <f t="shared" si="13"/>
        <v>11</v>
      </c>
    </row>
    <row r="103" spans="2:11" x14ac:dyDescent="0.25">
      <c r="B103" s="251">
        <v>1</v>
      </c>
      <c r="C103" s="116" t="s">
        <v>54</v>
      </c>
      <c r="D103" s="253" t="s">
        <v>14</v>
      </c>
      <c r="E103" s="253" t="s">
        <v>12</v>
      </c>
      <c r="F103" s="98" t="s">
        <v>15</v>
      </c>
      <c r="G103" s="267" t="s">
        <v>16</v>
      </c>
      <c r="H103" s="109">
        <v>37</v>
      </c>
      <c r="I103" s="98"/>
      <c r="J103" s="109">
        <v>6</v>
      </c>
      <c r="K103" s="110">
        <v>31</v>
      </c>
    </row>
    <row r="104" spans="2:11" x14ac:dyDescent="0.25">
      <c r="B104" s="251"/>
      <c r="C104" s="87" t="s">
        <v>40</v>
      </c>
      <c r="D104" s="253"/>
      <c r="E104" s="253"/>
      <c r="F104" s="87" t="s">
        <v>41</v>
      </c>
      <c r="G104" s="267"/>
      <c r="H104" s="100">
        <v>37</v>
      </c>
      <c r="I104" s="88"/>
      <c r="J104" s="98">
        <v>6</v>
      </c>
      <c r="K104" s="99">
        <f>H104-J104</f>
        <v>31</v>
      </c>
    </row>
    <row r="105" spans="2:11" x14ac:dyDescent="0.25">
      <c r="B105" s="251"/>
      <c r="C105" s="87" t="s">
        <v>20</v>
      </c>
      <c r="D105" s="253"/>
      <c r="E105" s="253"/>
      <c r="F105" s="87" t="s">
        <v>41</v>
      </c>
      <c r="G105" s="267"/>
      <c r="H105" s="100">
        <v>26</v>
      </c>
      <c r="I105" s="88"/>
      <c r="J105" s="98">
        <v>5</v>
      </c>
      <c r="K105" s="99">
        <f t="shared" ref="K105:K168" si="14">H105-J105</f>
        <v>21</v>
      </c>
    </row>
    <row r="106" spans="2:11" x14ac:dyDescent="0.25">
      <c r="B106" s="251"/>
      <c r="C106" s="87" t="s">
        <v>22</v>
      </c>
      <c r="D106" s="253"/>
      <c r="E106" s="253"/>
      <c r="F106" s="87" t="s">
        <v>41</v>
      </c>
      <c r="G106" s="267"/>
      <c r="H106" s="100">
        <v>25</v>
      </c>
      <c r="I106" s="88"/>
      <c r="J106" s="98">
        <v>5</v>
      </c>
      <c r="K106" s="99">
        <f t="shared" si="14"/>
        <v>20</v>
      </c>
    </row>
    <row r="107" spans="2:11" x14ac:dyDescent="0.25">
      <c r="B107" s="251"/>
      <c r="C107" s="87" t="s">
        <v>21</v>
      </c>
      <c r="D107" s="253"/>
      <c r="E107" s="253"/>
      <c r="F107" s="87" t="s">
        <v>41</v>
      </c>
      <c r="G107" s="267"/>
      <c r="H107" s="100">
        <v>29</v>
      </c>
      <c r="I107" s="88">
        <v>1</v>
      </c>
      <c r="J107" s="98">
        <v>5</v>
      </c>
      <c r="K107" s="99">
        <f>H107-J107-I107</f>
        <v>23</v>
      </c>
    </row>
    <row r="108" spans="2:11" x14ac:dyDescent="0.25">
      <c r="B108" s="251"/>
      <c r="C108" s="87" t="s">
        <v>55</v>
      </c>
      <c r="D108" s="253"/>
      <c r="E108" s="253"/>
      <c r="F108" s="87" t="s">
        <v>41</v>
      </c>
      <c r="G108" s="267"/>
      <c r="H108" s="100">
        <v>37</v>
      </c>
      <c r="I108" s="88">
        <v>1</v>
      </c>
      <c r="J108" s="98">
        <v>5</v>
      </c>
      <c r="K108" s="99">
        <f>H108-J108-I108</f>
        <v>31</v>
      </c>
    </row>
    <row r="109" spans="2:11" x14ac:dyDescent="0.25">
      <c r="B109" s="251"/>
      <c r="C109" s="87" t="s">
        <v>56</v>
      </c>
      <c r="D109" s="253"/>
      <c r="E109" s="253"/>
      <c r="F109" s="87" t="s">
        <v>41</v>
      </c>
      <c r="G109" s="267"/>
      <c r="H109" s="100">
        <v>33</v>
      </c>
      <c r="I109" s="88">
        <v>1</v>
      </c>
      <c r="J109" s="98">
        <v>6</v>
      </c>
      <c r="K109" s="99">
        <f>H109-J109-I109</f>
        <v>26</v>
      </c>
    </row>
    <row r="110" spans="2:11" x14ac:dyDescent="0.25">
      <c r="B110" s="251">
        <v>1</v>
      </c>
      <c r="C110" s="116" t="s">
        <v>54</v>
      </c>
      <c r="D110" s="253" t="s">
        <v>14</v>
      </c>
      <c r="E110" s="253" t="s">
        <v>12</v>
      </c>
      <c r="F110" s="98" t="s">
        <v>43</v>
      </c>
      <c r="G110" s="267" t="s">
        <v>25</v>
      </c>
      <c r="H110" s="109">
        <v>24</v>
      </c>
      <c r="I110" s="98"/>
      <c r="J110" s="109">
        <v>5</v>
      </c>
      <c r="K110" s="110">
        <v>19</v>
      </c>
    </row>
    <row r="111" spans="2:11" x14ac:dyDescent="0.25">
      <c r="B111" s="251"/>
      <c r="C111" s="87" t="s">
        <v>40</v>
      </c>
      <c r="D111" s="253"/>
      <c r="E111" s="253"/>
      <c r="F111" s="87" t="s">
        <v>44</v>
      </c>
      <c r="G111" s="267"/>
      <c r="H111" s="100">
        <v>24</v>
      </c>
      <c r="I111" s="88"/>
      <c r="J111" s="98">
        <v>5</v>
      </c>
      <c r="K111" s="99">
        <f t="shared" si="14"/>
        <v>19</v>
      </c>
    </row>
    <row r="112" spans="2:11" x14ac:dyDescent="0.25">
      <c r="B112" s="251"/>
      <c r="C112" s="87" t="s">
        <v>20</v>
      </c>
      <c r="D112" s="253"/>
      <c r="E112" s="253"/>
      <c r="F112" s="87" t="s">
        <v>44</v>
      </c>
      <c r="G112" s="267"/>
      <c r="H112" s="100">
        <v>23</v>
      </c>
      <c r="I112" s="88"/>
      <c r="J112" s="98">
        <v>5</v>
      </c>
      <c r="K112" s="99">
        <f t="shared" si="14"/>
        <v>18</v>
      </c>
    </row>
    <row r="113" spans="2:11" x14ac:dyDescent="0.25">
      <c r="B113" s="251"/>
      <c r="C113" s="87" t="s">
        <v>22</v>
      </c>
      <c r="D113" s="253"/>
      <c r="E113" s="253"/>
      <c r="F113" s="87" t="s">
        <v>44</v>
      </c>
      <c r="G113" s="267"/>
      <c r="H113" s="100">
        <v>22</v>
      </c>
      <c r="I113" s="88"/>
      <c r="J113" s="98">
        <v>5</v>
      </c>
      <c r="K113" s="99">
        <f t="shared" si="14"/>
        <v>17</v>
      </c>
    </row>
    <row r="114" spans="2:11" x14ac:dyDescent="0.25">
      <c r="B114" s="251"/>
      <c r="C114" s="87" t="s">
        <v>21</v>
      </c>
      <c r="D114" s="253"/>
      <c r="E114" s="253"/>
      <c r="F114" s="87" t="s">
        <v>44</v>
      </c>
      <c r="G114" s="267"/>
      <c r="H114" s="100">
        <v>24</v>
      </c>
      <c r="I114" s="88"/>
      <c r="J114" s="98">
        <v>5</v>
      </c>
      <c r="K114" s="99">
        <f t="shared" si="14"/>
        <v>19</v>
      </c>
    </row>
    <row r="115" spans="2:11" x14ac:dyDescent="0.25">
      <c r="B115" s="251"/>
      <c r="C115" s="87" t="s">
        <v>55</v>
      </c>
      <c r="D115" s="253"/>
      <c r="E115" s="253"/>
      <c r="F115" s="87" t="s">
        <v>44</v>
      </c>
      <c r="G115" s="267"/>
      <c r="H115" s="100">
        <v>24</v>
      </c>
      <c r="I115" s="88"/>
      <c r="J115" s="98">
        <v>5</v>
      </c>
      <c r="K115" s="99">
        <f t="shared" si="14"/>
        <v>19</v>
      </c>
    </row>
    <row r="116" spans="2:11" x14ac:dyDescent="0.25">
      <c r="B116" s="251"/>
      <c r="C116" s="87" t="s">
        <v>56</v>
      </c>
      <c r="D116" s="253"/>
      <c r="E116" s="253"/>
      <c r="F116" s="87" t="s">
        <v>44</v>
      </c>
      <c r="G116" s="267"/>
      <c r="H116" s="100">
        <v>24</v>
      </c>
      <c r="I116" s="88"/>
      <c r="J116" s="98">
        <v>5</v>
      </c>
      <c r="K116" s="99">
        <f t="shared" si="14"/>
        <v>19</v>
      </c>
    </row>
    <row r="117" spans="2:11" x14ac:dyDescent="0.25">
      <c r="B117" s="251">
        <v>1</v>
      </c>
      <c r="C117" s="117" t="s">
        <v>54</v>
      </c>
      <c r="D117" s="262" t="s">
        <v>14</v>
      </c>
      <c r="E117" s="262" t="s">
        <v>1</v>
      </c>
      <c r="F117" s="84" t="s">
        <v>15</v>
      </c>
      <c r="G117" s="246" t="s">
        <v>16</v>
      </c>
      <c r="H117" s="109">
        <v>40</v>
      </c>
      <c r="I117" s="84"/>
      <c r="J117" s="109">
        <v>4</v>
      </c>
      <c r="K117" s="110">
        <v>36</v>
      </c>
    </row>
    <row r="118" spans="2:11" x14ac:dyDescent="0.25">
      <c r="B118" s="251"/>
      <c r="C118" s="87" t="s">
        <v>40</v>
      </c>
      <c r="D118" s="262"/>
      <c r="E118" s="262"/>
      <c r="F118" s="87" t="s">
        <v>19</v>
      </c>
      <c r="G118" s="246"/>
      <c r="H118" s="100">
        <v>40</v>
      </c>
      <c r="I118" s="88"/>
      <c r="J118" s="84">
        <v>6</v>
      </c>
      <c r="K118" s="99">
        <f t="shared" si="14"/>
        <v>34</v>
      </c>
    </row>
    <row r="119" spans="2:11" x14ac:dyDescent="0.25">
      <c r="B119" s="251"/>
      <c r="C119" s="87" t="s">
        <v>20</v>
      </c>
      <c r="D119" s="262"/>
      <c r="E119" s="262"/>
      <c r="F119" s="87" t="s">
        <v>19</v>
      </c>
      <c r="G119" s="246"/>
      <c r="H119" s="100">
        <v>41</v>
      </c>
      <c r="I119" s="88"/>
      <c r="J119" s="84">
        <v>4</v>
      </c>
      <c r="K119" s="99">
        <f t="shared" si="14"/>
        <v>37</v>
      </c>
    </row>
    <row r="120" spans="2:11" x14ac:dyDescent="0.25">
      <c r="B120" s="251"/>
      <c r="C120" s="87" t="s">
        <v>22</v>
      </c>
      <c r="D120" s="262"/>
      <c r="E120" s="262"/>
      <c r="F120" s="87" t="s">
        <v>19</v>
      </c>
      <c r="G120" s="246"/>
      <c r="H120" s="100">
        <v>40</v>
      </c>
      <c r="I120" s="88"/>
      <c r="J120" s="84">
        <v>4</v>
      </c>
      <c r="K120" s="99">
        <f t="shared" si="14"/>
        <v>36</v>
      </c>
    </row>
    <row r="121" spans="2:11" x14ac:dyDescent="0.25">
      <c r="B121" s="251"/>
      <c r="C121" s="87" t="s">
        <v>21</v>
      </c>
      <c r="D121" s="262"/>
      <c r="E121" s="262"/>
      <c r="F121" s="87" t="s">
        <v>19</v>
      </c>
      <c r="G121" s="246"/>
      <c r="H121" s="100">
        <v>40</v>
      </c>
      <c r="I121" s="88"/>
      <c r="J121" s="84">
        <v>4</v>
      </c>
      <c r="K121" s="99">
        <f t="shared" si="14"/>
        <v>36</v>
      </c>
    </row>
    <row r="122" spans="2:11" x14ac:dyDescent="0.25">
      <c r="B122" s="251"/>
      <c r="C122" s="87" t="s">
        <v>55</v>
      </c>
      <c r="D122" s="262"/>
      <c r="E122" s="262"/>
      <c r="F122" s="87" t="s">
        <v>19</v>
      </c>
      <c r="G122" s="246"/>
      <c r="H122" s="100">
        <v>40</v>
      </c>
      <c r="I122" s="88"/>
      <c r="J122" s="84">
        <v>4</v>
      </c>
      <c r="K122" s="99">
        <f t="shared" si="14"/>
        <v>36</v>
      </c>
    </row>
    <row r="123" spans="2:11" x14ac:dyDescent="0.25">
      <c r="B123" s="251"/>
      <c r="C123" s="87" t="s">
        <v>56</v>
      </c>
      <c r="D123" s="262"/>
      <c r="E123" s="262"/>
      <c r="F123" s="87" t="s">
        <v>19</v>
      </c>
      <c r="G123" s="246"/>
      <c r="H123" s="100">
        <v>40</v>
      </c>
      <c r="I123" s="88"/>
      <c r="J123" s="84">
        <v>4</v>
      </c>
      <c r="K123" s="99">
        <f t="shared" si="14"/>
        <v>36</v>
      </c>
    </row>
    <row r="124" spans="2:11" x14ac:dyDescent="0.25">
      <c r="B124" s="251">
        <v>1</v>
      </c>
      <c r="C124" s="117" t="s">
        <v>54</v>
      </c>
      <c r="D124" s="262" t="s">
        <v>14</v>
      </c>
      <c r="E124" s="262" t="s">
        <v>1</v>
      </c>
      <c r="F124" s="84" t="s">
        <v>43</v>
      </c>
      <c r="G124" s="246" t="s">
        <v>16</v>
      </c>
      <c r="H124" s="109">
        <v>30</v>
      </c>
      <c r="I124" s="84"/>
      <c r="J124" s="109">
        <v>2</v>
      </c>
      <c r="K124" s="110">
        <v>28</v>
      </c>
    </row>
    <row r="125" spans="2:11" x14ac:dyDescent="0.25">
      <c r="B125" s="251"/>
      <c r="C125" s="87" t="s">
        <v>40</v>
      </c>
      <c r="D125" s="262"/>
      <c r="E125" s="262"/>
      <c r="F125" s="87" t="s">
        <v>45</v>
      </c>
      <c r="G125" s="246"/>
      <c r="H125" s="100">
        <v>30</v>
      </c>
      <c r="I125" s="88"/>
      <c r="J125" s="84">
        <v>2</v>
      </c>
      <c r="K125" s="99">
        <f t="shared" si="14"/>
        <v>28</v>
      </c>
    </row>
    <row r="126" spans="2:11" x14ac:dyDescent="0.25">
      <c r="B126" s="251"/>
      <c r="C126" s="87" t="s">
        <v>20</v>
      </c>
      <c r="D126" s="262"/>
      <c r="E126" s="262"/>
      <c r="F126" s="87" t="s">
        <v>45</v>
      </c>
      <c r="G126" s="246"/>
      <c r="H126" s="100">
        <v>31</v>
      </c>
      <c r="I126" s="88"/>
      <c r="J126" s="84">
        <v>2</v>
      </c>
      <c r="K126" s="99">
        <f t="shared" si="14"/>
        <v>29</v>
      </c>
    </row>
    <row r="127" spans="2:11" x14ac:dyDescent="0.25">
      <c r="B127" s="251"/>
      <c r="C127" s="87" t="s">
        <v>22</v>
      </c>
      <c r="D127" s="262"/>
      <c r="E127" s="262"/>
      <c r="F127" s="87" t="s">
        <v>45</v>
      </c>
      <c r="G127" s="246"/>
      <c r="H127" s="100">
        <v>30</v>
      </c>
      <c r="I127" s="88"/>
      <c r="J127" s="84">
        <v>2</v>
      </c>
      <c r="K127" s="99">
        <f t="shared" si="14"/>
        <v>28</v>
      </c>
    </row>
    <row r="128" spans="2:11" x14ac:dyDescent="0.25">
      <c r="B128" s="251"/>
      <c r="C128" s="87" t="s">
        <v>21</v>
      </c>
      <c r="D128" s="262"/>
      <c r="E128" s="262"/>
      <c r="F128" s="87" t="s">
        <v>45</v>
      </c>
      <c r="G128" s="246"/>
      <c r="H128" s="100">
        <v>30</v>
      </c>
      <c r="I128" s="88"/>
      <c r="J128" s="84">
        <v>2</v>
      </c>
      <c r="K128" s="99">
        <f t="shared" si="14"/>
        <v>28</v>
      </c>
    </row>
    <row r="129" spans="2:11" x14ac:dyDescent="0.25">
      <c r="B129" s="251"/>
      <c r="C129" s="87" t="s">
        <v>55</v>
      </c>
      <c r="D129" s="262"/>
      <c r="E129" s="262"/>
      <c r="F129" s="87" t="s">
        <v>45</v>
      </c>
      <c r="G129" s="246"/>
      <c r="H129" s="100">
        <v>29</v>
      </c>
      <c r="I129" s="88"/>
      <c r="J129" s="84">
        <v>3</v>
      </c>
      <c r="K129" s="99">
        <f t="shared" si="14"/>
        <v>26</v>
      </c>
    </row>
    <row r="130" spans="2:11" x14ac:dyDescent="0.25">
      <c r="B130" s="251"/>
      <c r="C130" s="87" t="s">
        <v>56</v>
      </c>
      <c r="D130" s="262"/>
      <c r="E130" s="262"/>
      <c r="F130" s="87" t="s">
        <v>45</v>
      </c>
      <c r="G130" s="246"/>
      <c r="H130" s="100">
        <v>31</v>
      </c>
      <c r="I130" s="88"/>
      <c r="J130" s="84">
        <v>3</v>
      </c>
      <c r="K130" s="99">
        <f>H130-J130</f>
        <v>28</v>
      </c>
    </row>
    <row r="131" spans="2:11" x14ac:dyDescent="0.25">
      <c r="B131" s="251">
        <v>1</v>
      </c>
      <c r="C131" s="117" t="s">
        <v>54</v>
      </c>
      <c r="D131" s="262" t="s">
        <v>14</v>
      </c>
      <c r="E131" s="262" t="s">
        <v>1</v>
      </c>
      <c r="F131" s="84" t="s">
        <v>48</v>
      </c>
      <c r="G131" s="246" t="s">
        <v>25</v>
      </c>
      <c r="H131" s="109">
        <v>38</v>
      </c>
      <c r="I131" s="235">
        <v>9</v>
      </c>
      <c r="J131" s="236"/>
      <c r="K131" s="110">
        <v>29</v>
      </c>
    </row>
    <row r="132" spans="2:11" x14ac:dyDescent="0.25">
      <c r="B132" s="251"/>
      <c r="C132" s="87" t="s">
        <v>40</v>
      </c>
      <c r="D132" s="262"/>
      <c r="E132" s="262"/>
      <c r="F132" s="87" t="s">
        <v>57</v>
      </c>
      <c r="G132" s="246"/>
      <c r="H132" s="100">
        <v>38</v>
      </c>
      <c r="I132" s="88">
        <v>1</v>
      </c>
      <c r="J132" s="84">
        <v>8</v>
      </c>
      <c r="K132" s="99">
        <f>H132-J132-I132</f>
        <v>29</v>
      </c>
    </row>
    <row r="133" spans="2:11" x14ac:dyDescent="0.25">
      <c r="B133" s="251"/>
      <c r="C133" s="87" t="s">
        <v>20</v>
      </c>
      <c r="D133" s="262"/>
      <c r="E133" s="262"/>
      <c r="F133" s="87" t="s">
        <v>57</v>
      </c>
      <c r="G133" s="246"/>
      <c r="H133" s="100">
        <v>41</v>
      </c>
      <c r="I133" s="88">
        <v>1</v>
      </c>
      <c r="J133" s="84">
        <v>8</v>
      </c>
      <c r="K133" s="99">
        <f t="shared" ref="K133:K137" si="15">H133-J133-I133</f>
        <v>32</v>
      </c>
    </row>
    <row r="134" spans="2:11" x14ac:dyDescent="0.25">
      <c r="B134" s="251"/>
      <c r="C134" s="87" t="s">
        <v>22</v>
      </c>
      <c r="D134" s="262"/>
      <c r="E134" s="262"/>
      <c r="F134" s="87" t="s">
        <v>57</v>
      </c>
      <c r="G134" s="246"/>
      <c r="H134" s="100">
        <v>38</v>
      </c>
      <c r="I134" s="88">
        <v>1</v>
      </c>
      <c r="J134" s="84">
        <v>8</v>
      </c>
      <c r="K134" s="99">
        <f t="shared" si="15"/>
        <v>29</v>
      </c>
    </row>
    <row r="135" spans="2:11" x14ac:dyDescent="0.25">
      <c r="B135" s="251"/>
      <c r="C135" s="87" t="s">
        <v>21</v>
      </c>
      <c r="D135" s="262"/>
      <c r="E135" s="262"/>
      <c r="F135" s="87" t="s">
        <v>57</v>
      </c>
      <c r="G135" s="246"/>
      <c r="H135" s="100">
        <v>38</v>
      </c>
      <c r="I135" s="88">
        <v>1</v>
      </c>
      <c r="J135" s="84">
        <v>8</v>
      </c>
      <c r="K135" s="99">
        <f t="shared" si="15"/>
        <v>29</v>
      </c>
    </row>
    <row r="136" spans="2:11" x14ac:dyDescent="0.25">
      <c r="B136" s="251"/>
      <c r="C136" s="87" t="s">
        <v>55</v>
      </c>
      <c r="D136" s="262"/>
      <c r="E136" s="262"/>
      <c r="F136" s="87" t="s">
        <v>57</v>
      </c>
      <c r="G136" s="246"/>
      <c r="H136" s="100">
        <v>38</v>
      </c>
      <c r="I136" s="88">
        <v>1</v>
      </c>
      <c r="J136" s="84">
        <v>8</v>
      </c>
      <c r="K136" s="99">
        <f t="shared" si="15"/>
        <v>29</v>
      </c>
    </row>
    <row r="137" spans="2:11" x14ac:dyDescent="0.25">
      <c r="B137" s="251"/>
      <c r="C137" s="87" t="s">
        <v>56</v>
      </c>
      <c r="D137" s="262"/>
      <c r="E137" s="262"/>
      <c r="F137" s="87" t="s">
        <v>57</v>
      </c>
      <c r="G137" s="268"/>
      <c r="H137" s="204">
        <v>39</v>
      </c>
      <c r="I137" s="205">
        <v>1</v>
      </c>
      <c r="J137" s="206">
        <v>9</v>
      </c>
      <c r="K137" s="21">
        <f t="shared" si="15"/>
        <v>29</v>
      </c>
    </row>
    <row r="138" spans="2:11" x14ac:dyDescent="0.25">
      <c r="B138" s="251">
        <v>1</v>
      </c>
      <c r="C138" s="113" t="s">
        <v>54</v>
      </c>
      <c r="D138" s="252" t="s">
        <v>14</v>
      </c>
      <c r="E138" s="252" t="s">
        <v>17</v>
      </c>
      <c r="F138" s="92" t="s">
        <v>15</v>
      </c>
      <c r="G138" s="269" t="s">
        <v>16</v>
      </c>
      <c r="H138" s="17">
        <v>35</v>
      </c>
      <c r="I138" s="18"/>
      <c r="J138" s="17">
        <v>9</v>
      </c>
      <c r="K138" s="39">
        <v>26</v>
      </c>
    </row>
    <row r="139" spans="2:11" x14ac:dyDescent="0.25">
      <c r="B139" s="251"/>
      <c r="C139" s="87" t="s">
        <v>40</v>
      </c>
      <c r="D139" s="252"/>
      <c r="E139" s="252"/>
      <c r="F139" s="118" t="s">
        <v>27</v>
      </c>
      <c r="G139" s="269"/>
      <c r="H139" s="16">
        <v>36</v>
      </c>
      <c r="I139" s="16"/>
      <c r="J139" s="18">
        <v>7</v>
      </c>
      <c r="K139" s="40">
        <f t="shared" si="14"/>
        <v>29</v>
      </c>
    </row>
    <row r="140" spans="2:11" x14ac:dyDescent="0.25">
      <c r="B140" s="251"/>
      <c r="C140" s="87" t="s">
        <v>20</v>
      </c>
      <c r="D140" s="252"/>
      <c r="E140" s="252"/>
      <c r="F140" s="118" t="s">
        <v>27</v>
      </c>
      <c r="G140" s="269"/>
      <c r="H140" s="16">
        <v>32</v>
      </c>
      <c r="I140" s="16"/>
      <c r="J140" s="18">
        <v>9</v>
      </c>
      <c r="K140" s="40">
        <f t="shared" si="14"/>
        <v>23</v>
      </c>
    </row>
    <row r="141" spans="2:11" x14ac:dyDescent="0.25">
      <c r="B141" s="251"/>
      <c r="C141" s="87" t="s">
        <v>22</v>
      </c>
      <c r="D141" s="252"/>
      <c r="E141" s="252"/>
      <c r="F141" s="118" t="s">
        <v>27</v>
      </c>
      <c r="G141" s="269"/>
      <c r="H141" s="19">
        <v>35</v>
      </c>
      <c r="I141" s="16"/>
      <c r="J141" s="18">
        <v>9</v>
      </c>
      <c r="K141" s="40">
        <f t="shared" si="14"/>
        <v>26</v>
      </c>
    </row>
    <row r="142" spans="2:11" x14ac:dyDescent="0.25">
      <c r="B142" s="251"/>
      <c r="C142" s="87" t="s">
        <v>21</v>
      </c>
      <c r="D142" s="252"/>
      <c r="E142" s="252"/>
      <c r="F142" s="118" t="s">
        <v>27</v>
      </c>
      <c r="G142" s="269"/>
      <c r="H142" s="16">
        <v>34</v>
      </c>
      <c r="I142" s="16"/>
      <c r="J142" s="18">
        <v>9</v>
      </c>
      <c r="K142" s="40">
        <f t="shared" si="14"/>
        <v>25</v>
      </c>
    </row>
    <row r="143" spans="2:11" x14ac:dyDescent="0.25">
      <c r="B143" s="251"/>
      <c r="C143" s="87" t="s">
        <v>55</v>
      </c>
      <c r="D143" s="252"/>
      <c r="E143" s="252"/>
      <c r="F143" s="118" t="s">
        <v>27</v>
      </c>
      <c r="G143" s="269"/>
      <c r="H143" s="16">
        <v>41</v>
      </c>
      <c r="I143" s="16"/>
      <c r="J143" s="18">
        <v>8</v>
      </c>
      <c r="K143" s="40">
        <f t="shared" si="14"/>
        <v>33</v>
      </c>
    </row>
    <row r="144" spans="2:11" x14ac:dyDescent="0.25">
      <c r="B144" s="251"/>
      <c r="C144" s="87" t="s">
        <v>56</v>
      </c>
      <c r="D144" s="252"/>
      <c r="E144" s="252"/>
      <c r="F144" s="118" t="s">
        <v>27</v>
      </c>
      <c r="G144" s="269"/>
      <c r="H144" s="16">
        <v>40</v>
      </c>
      <c r="I144" s="16"/>
      <c r="J144" s="18">
        <v>9</v>
      </c>
      <c r="K144" s="40">
        <f>H144-J144</f>
        <v>31</v>
      </c>
    </row>
    <row r="145" spans="2:11" x14ac:dyDescent="0.25">
      <c r="B145" s="251">
        <v>1</v>
      </c>
      <c r="C145" s="113" t="s">
        <v>54</v>
      </c>
      <c r="D145" s="252" t="s">
        <v>14</v>
      </c>
      <c r="E145" s="252" t="s">
        <v>17</v>
      </c>
      <c r="F145" s="92" t="s">
        <v>43</v>
      </c>
      <c r="G145" s="20"/>
      <c r="H145" s="17">
        <v>30</v>
      </c>
      <c r="I145" s="17"/>
      <c r="J145" s="17">
        <v>7</v>
      </c>
      <c r="K145" s="39">
        <v>23</v>
      </c>
    </row>
    <row r="146" spans="2:11" x14ac:dyDescent="0.25">
      <c r="B146" s="251"/>
      <c r="C146" s="87" t="s">
        <v>40</v>
      </c>
      <c r="D146" s="252"/>
      <c r="E146" s="252"/>
      <c r="F146" s="118" t="s">
        <v>46</v>
      </c>
      <c r="G146" s="266" t="s">
        <v>25</v>
      </c>
      <c r="H146" s="19">
        <v>29</v>
      </c>
      <c r="I146" s="16"/>
      <c r="J146" s="18">
        <v>7</v>
      </c>
      <c r="K146" s="40">
        <f t="shared" si="14"/>
        <v>22</v>
      </c>
    </row>
    <row r="147" spans="2:11" x14ac:dyDescent="0.25">
      <c r="B147" s="251"/>
      <c r="C147" s="87" t="s">
        <v>20</v>
      </c>
      <c r="D147" s="252"/>
      <c r="E147" s="252"/>
      <c r="F147" s="118" t="s">
        <v>46</v>
      </c>
      <c r="G147" s="266"/>
      <c r="H147" s="19">
        <v>23</v>
      </c>
      <c r="I147" s="16"/>
      <c r="J147" s="18">
        <v>7</v>
      </c>
      <c r="K147" s="40">
        <f t="shared" si="14"/>
        <v>16</v>
      </c>
    </row>
    <row r="148" spans="2:11" x14ac:dyDescent="0.25">
      <c r="B148" s="251"/>
      <c r="C148" s="87" t="s">
        <v>22</v>
      </c>
      <c r="D148" s="252"/>
      <c r="E148" s="252"/>
      <c r="F148" s="118" t="s">
        <v>46</v>
      </c>
      <c r="G148" s="266"/>
      <c r="H148" s="19">
        <v>24</v>
      </c>
      <c r="I148" s="16"/>
      <c r="J148" s="18">
        <v>7</v>
      </c>
      <c r="K148" s="40">
        <f t="shared" si="14"/>
        <v>17</v>
      </c>
    </row>
    <row r="149" spans="2:11" x14ac:dyDescent="0.25">
      <c r="B149" s="251"/>
      <c r="C149" s="87" t="s">
        <v>21</v>
      </c>
      <c r="D149" s="252"/>
      <c r="E149" s="252"/>
      <c r="F149" s="118" t="s">
        <v>46</v>
      </c>
      <c r="G149" s="266"/>
      <c r="H149" s="19">
        <v>24</v>
      </c>
      <c r="I149" s="16"/>
      <c r="J149" s="18">
        <v>7</v>
      </c>
      <c r="K149" s="40">
        <f t="shared" si="14"/>
        <v>17</v>
      </c>
    </row>
    <row r="150" spans="2:11" x14ac:dyDescent="0.25">
      <c r="B150" s="251"/>
      <c r="C150" s="87" t="s">
        <v>55</v>
      </c>
      <c r="D150" s="252"/>
      <c r="E150" s="252"/>
      <c r="F150" s="118" t="s">
        <v>46</v>
      </c>
      <c r="G150" s="266"/>
      <c r="H150" s="19">
        <v>30</v>
      </c>
      <c r="I150" s="16"/>
      <c r="J150" s="18">
        <v>7</v>
      </c>
      <c r="K150" s="40">
        <f t="shared" si="14"/>
        <v>23</v>
      </c>
    </row>
    <row r="151" spans="2:11" x14ac:dyDescent="0.25">
      <c r="B151" s="251"/>
      <c r="C151" s="87" t="s">
        <v>56</v>
      </c>
      <c r="D151" s="252"/>
      <c r="E151" s="252"/>
      <c r="F151" s="118" t="s">
        <v>46</v>
      </c>
      <c r="G151" s="266"/>
      <c r="H151" s="19">
        <v>25</v>
      </c>
      <c r="I151" s="16"/>
      <c r="J151" s="18">
        <v>7</v>
      </c>
      <c r="K151" s="40">
        <f t="shared" si="14"/>
        <v>18</v>
      </c>
    </row>
    <row r="152" spans="2:11" x14ac:dyDescent="0.25">
      <c r="B152" s="251">
        <v>1</v>
      </c>
      <c r="C152" s="116" t="s">
        <v>58</v>
      </c>
      <c r="D152" s="253" t="s">
        <v>14</v>
      </c>
      <c r="E152" s="253" t="s">
        <v>12</v>
      </c>
      <c r="F152" s="98" t="s">
        <v>15</v>
      </c>
      <c r="G152" s="264" t="s">
        <v>16</v>
      </c>
      <c r="H152" s="22">
        <v>10</v>
      </c>
      <c r="I152" s="23"/>
      <c r="J152" s="23">
        <v>6</v>
      </c>
      <c r="K152" s="24">
        <v>4</v>
      </c>
    </row>
    <row r="153" spans="2:11" x14ac:dyDescent="0.25">
      <c r="B153" s="251"/>
      <c r="C153" s="87" t="s">
        <v>20</v>
      </c>
      <c r="D153" s="253"/>
      <c r="E153" s="253"/>
      <c r="F153" s="87" t="s">
        <v>41</v>
      </c>
      <c r="G153" s="264"/>
      <c r="H153" s="100">
        <v>11</v>
      </c>
      <c r="I153" s="88"/>
      <c r="J153" s="98">
        <v>6</v>
      </c>
      <c r="K153" s="99">
        <f t="shared" si="14"/>
        <v>5</v>
      </c>
    </row>
    <row r="154" spans="2:11" x14ac:dyDescent="0.25">
      <c r="B154" s="251"/>
      <c r="C154" s="87" t="s">
        <v>21</v>
      </c>
      <c r="D154" s="253"/>
      <c r="E154" s="253"/>
      <c r="F154" s="87" t="s">
        <v>41</v>
      </c>
      <c r="G154" s="264"/>
      <c r="H154" s="100">
        <v>10</v>
      </c>
      <c r="I154" s="88"/>
      <c r="J154" s="98">
        <v>7</v>
      </c>
      <c r="K154" s="99">
        <f t="shared" si="14"/>
        <v>3</v>
      </c>
    </row>
    <row r="155" spans="2:11" x14ac:dyDescent="0.25">
      <c r="B155" s="251"/>
      <c r="C155" s="87" t="s">
        <v>22</v>
      </c>
      <c r="D155" s="253"/>
      <c r="E155" s="253"/>
      <c r="F155" s="87" t="s">
        <v>41</v>
      </c>
      <c r="G155" s="264"/>
      <c r="H155" s="100">
        <v>10</v>
      </c>
      <c r="I155" s="88"/>
      <c r="J155" s="98">
        <v>6</v>
      </c>
      <c r="K155" s="99">
        <f t="shared" si="14"/>
        <v>4</v>
      </c>
    </row>
    <row r="156" spans="2:11" x14ac:dyDescent="0.25">
      <c r="B156" s="251"/>
      <c r="C156" s="87" t="s">
        <v>59</v>
      </c>
      <c r="D156" s="253"/>
      <c r="E156" s="253"/>
      <c r="F156" s="87" t="s">
        <v>41</v>
      </c>
      <c r="G156" s="264"/>
      <c r="H156" s="100">
        <v>12</v>
      </c>
      <c r="I156" s="88"/>
      <c r="J156" s="98">
        <v>8</v>
      </c>
      <c r="K156" s="99">
        <f t="shared" si="14"/>
        <v>4</v>
      </c>
    </row>
    <row r="157" spans="2:11" x14ac:dyDescent="0.25">
      <c r="B157" s="251"/>
      <c r="C157" s="87" t="s">
        <v>60</v>
      </c>
      <c r="D157" s="253"/>
      <c r="E157" s="253"/>
      <c r="F157" s="87" t="s">
        <v>41</v>
      </c>
      <c r="G157" s="264"/>
      <c r="H157" s="100">
        <v>10</v>
      </c>
      <c r="I157" s="88"/>
      <c r="J157" s="98">
        <v>6</v>
      </c>
      <c r="K157" s="99">
        <f t="shared" si="14"/>
        <v>4</v>
      </c>
    </row>
    <row r="158" spans="2:11" x14ac:dyDescent="0.25">
      <c r="B158" s="251"/>
      <c r="C158" s="87" t="s">
        <v>61</v>
      </c>
      <c r="D158" s="253"/>
      <c r="E158" s="253"/>
      <c r="F158" s="87" t="s">
        <v>41</v>
      </c>
      <c r="G158" s="265"/>
      <c r="H158" s="100">
        <v>11</v>
      </c>
      <c r="I158" s="88"/>
      <c r="J158" s="98">
        <v>7</v>
      </c>
      <c r="K158" s="99">
        <f>H158-J158</f>
        <v>4</v>
      </c>
    </row>
    <row r="159" spans="2:11" x14ac:dyDescent="0.25">
      <c r="B159" s="251">
        <v>1</v>
      </c>
      <c r="C159" s="113" t="s">
        <v>58</v>
      </c>
      <c r="D159" s="252" t="s">
        <v>14</v>
      </c>
      <c r="E159" s="252" t="s">
        <v>17</v>
      </c>
      <c r="F159" s="91" t="s">
        <v>15</v>
      </c>
      <c r="G159" s="242" t="s">
        <v>16</v>
      </c>
      <c r="H159" s="95">
        <v>21</v>
      </c>
      <c r="I159" s="91"/>
      <c r="J159" s="91">
        <v>4</v>
      </c>
      <c r="K159" s="99">
        <v>17</v>
      </c>
    </row>
    <row r="160" spans="2:11" x14ac:dyDescent="0.25">
      <c r="B160" s="251"/>
      <c r="C160" s="87" t="s">
        <v>20</v>
      </c>
      <c r="D160" s="252"/>
      <c r="E160" s="252"/>
      <c r="F160" s="87" t="s">
        <v>27</v>
      </c>
      <c r="G160" s="242"/>
      <c r="H160" s="100">
        <v>21</v>
      </c>
      <c r="I160" s="88"/>
      <c r="J160" s="91">
        <v>4</v>
      </c>
      <c r="K160" s="99">
        <f t="shared" si="14"/>
        <v>17</v>
      </c>
    </row>
    <row r="161" spans="2:11" x14ac:dyDescent="0.25">
      <c r="B161" s="251"/>
      <c r="C161" s="87" t="s">
        <v>21</v>
      </c>
      <c r="D161" s="252"/>
      <c r="E161" s="252"/>
      <c r="F161" s="87" t="s">
        <v>27</v>
      </c>
      <c r="G161" s="242"/>
      <c r="H161" s="100">
        <v>21</v>
      </c>
      <c r="I161" s="88"/>
      <c r="J161" s="91">
        <v>4</v>
      </c>
      <c r="K161" s="99">
        <f t="shared" si="14"/>
        <v>17</v>
      </c>
    </row>
    <row r="162" spans="2:11" x14ac:dyDescent="0.25">
      <c r="B162" s="251"/>
      <c r="C162" s="87" t="s">
        <v>22</v>
      </c>
      <c r="D162" s="252"/>
      <c r="E162" s="252"/>
      <c r="F162" s="87" t="s">
        <v>27</v>
      </c>
      <c r="G162" s="242"/>
      <c r="H162" s="100">
        <v>21</v>
      </c>
      <c r="I162" s="88"/>
      <c r="J162" s="91">
        <v>4</v>
      </c>
      <c r="K162" s="99">
        <f t="shared" si="14"/>
        <v>17</v>
      </c>
    </row>
    <row r="163" spans="2:11" x14ac:dyDescent="0.25">
      <c r="B163" s="251"/>
      <c r="C163" s="87" t="s">
        <v>59</v>
      </c>
      <c r="D163" s="252"/>
      <c r="E163" s="252"/>
      <c r="F163" s="87" t="s">
        <v>27</v>
      </c>
      <c r="G163" s="242"/>
      <c r="H163" s="100">
        <v>32</v>
      </c>
      <c r="I163" s="88"/>
      <c r="J163" s="91">
        <v>4</v>
      </c>
      <c r="K163" s="99">
        <f t="shared" si="14"/>
        <v>28</v>
      </c>
    </row>
    <row r="164" spans="2:11" x14ac:dyDescent="0.25">
      <c r="B164" s="251"/>
      <c r="C164" s="87" t="s">
        <v>60</v>
      </c>
      <c r="D164" s="252"/>
      <c r="E164" s="252"/>
      <c r="F164" s="87" t="s">
        <v>27</v>
      </c>
      <c r="G164" s="242"/>
      <c r="H164" s="100">
        <v>25</v>
      </c>
      <c r="I164" s="88"/>
      <c r="J164" s="91">
        <v>4</v>
      </c>
      <c r="K164" s="99">
        <f t="shared" si="14"/>
        <v>21</v>
      </c>
    </row>
    <row r="165" spans="2:11" x14ac:dyDescent="0.25">
      <c r="B165" s="251"/>
      <c r="C165" s="87" t="s">
        <v>61</v>
      </c>
      <c r="D165" s="252"/>
      <c r="E165" s="252"/>
      <c r="F165" s="87" t="s">
        <v>27</v>
      </c>
      <c r="G165" s="242"/>
      <c r="H165" s="100">
        <v>22</v>
      </c>
      <c r="I165" s="88"/>
      <c r="J165" s="91">
        <v>4</v>
      </c>
      <c r="K165" s="99">
        <f t="shared" si="14"/>
        <v>18</v>
      </c>
    </row>
    <row r="166" spans="2:11" x14ac:dyDescent="0.25">
      <c r="B166" s="251">
        <v>1</v>
      </c>
      <c r="C166" s="113" t="s">
        <v>62</v>
      </c>
      <c r="D166" s="252" t="s">
        <v>14</v>
      </c>
      <c r="E166" s="252" t="s">
        <v>17</v>
      </c>
      <c r="F166" s="91" t="s">
        <v>15</v>
      </c>
      <c r="G166" s="242" t="s">
        <v>25</v>
      </c>
      <c r="H166" s="95">
        <v>15</v>
      </c>
      <c r="I166" s="91"/>
      <c r="J166" s="91">
        <v>2</v>
      </c>
      <c r="K166" s="99">
        <v>13</v>
      </c>
    </row>
    <row r="167" spans="2:11" x14ac:dyDescent="0.25">
      <c r="B167" s="251"/>
      <c r="C167" s="87" t="s">
        <v>59</v>
      </c>
      <c r="D167" s="252"/>
      <c r="E167" s="252"/>
      <c r="F167" s="87" t="s">
        <v>27</v>
      </c>
      <c r="G167" s="242"/>
      <c r="H167" s="100">
        <v>20</v>
      </c>
      <c r="I167" s="88"/>
      <c r="J167" s="91">
        <v>1</v>
      </c>
      <c r="K167" s="99">
        <f t="shared" si="14"/>
        <v>19</v>
      </c>
    </row>
    <row r="168" spans="2:11" x14ac:dyDescent="0.25">
      <c r="B168" s="251"/>
      <c r="C168" s="87" t="s">
        <v>20</v>
      </c>
      <c r="D168" s="252"/>
      <c r="E168" s="252"/>
      <c r="F168" s="87" t="s">
        <v>27</v>
      </c>
      <c r="G168" s="242"/>
      <c r="H168" s="100">
        <v>13</v>
      </c>
      <c r="I168" s="88"/>
      <c r="J168" s="91">
        <v>1</v>
      </c>
      <c r="K168" s="99">
        <f t="shared" si="14"/>
        <v>12</v>
      </c>
    </row>
    <row r="169" spans="2:11" x14ac:dyDescent="0.25">
      <c r="B169" s="251"/>
      <c r="C169" s="87" t="s">
        <v>21</v>
      </c>
      <c r="D169" s="252"/>
      <c r="E169" s="252"/>
      <c r="F169" s="87" t="s">
        <v>27</v>
      </c>
      <c r="G169" s="242"/>
      <c r="H169" s="100">
        <v>16</v>
      </c>
      <c r="I169" s="88"/>
      <c r="J169" s="91">
        <v>2</v>
      </c>
      <c r="K169" s="99">
        <f t="shared" ref="K169:K232" si="16">H169-J169</f>
        <v>14</v>
      </c>
    </row>
    <row r="170" spans="2:11" x14ac:dyDescent="0.25">
      <c r="B170" s="251"/>
      <c r="C170" s="87" t="s">
        <v>22</v>
      </c>
      <c r="D170" s="252"/>
      <c r="E170" s="252"/>
      <c r="F170" s="87" t="s">
        <v>27</v>
      </c>
      <c r="G170" s="242"/>
      <c r="H170" s="100">
        <v>13</v>
      </c>
      <c r="I170" s="88"/>
      <c r="J170" s="91">
        <v>1</v>
      </c>
      <c r="K170" s="99">
        <f t="shared" si="16"/>
        <v>12</v>
      </c>
    </row>
    <row r="171" spans="2:11" x14ac:dyDescent="0.25">
      <c r="B171" s="251"/>
      <c r="C171" s="87" t="s">
        <v>60</v>
      </c>
      <c r="D171" s="252"/>
      <c r="E171" s="252"/>
      <c r="F171" s="87" t="s">
        <v>27</v>
      </c>
      <c r="G171" s="242"/>
      <c r="H171" s="100">
        <v>13</v>
      </c>
      <c r="I171" s="88"/>
      <c r="J171" s="91">
        <v>1</v>
      </c>
      <c r="K171" s="99">
        <f t="shared" si="16"/>
        <v>12</v>
      </c>
    </row>
    <row r="172" spans="2:11" x14ac:dyDescent="0.25">
      <c r="B172" s="251"/>
      <c r="C172" s="87" t="s">
        <v>63</v>
      </c>
      <c r="D172" s="252"/>
      <c r="E172" s="252"/>
      <c r="F172" s="87" t="s">
        <v>27</v>
      </c>
      <c r="G172" s="242"/>
      <c r="H172" s="100">
        <v>17</v>
      </c>
      <c r="I172" s="88"/>
      <c r="J172" s="91">
        <v>1</v>
      </c>
      <c r="K172" s="99">
        <f t="shared" si="16"/>
        <v>16</v>
      </c>
    </row>
    <row r="173" spans="2:11" ht="18.75" x14ac:dyDescent="0.25">
      <c r="B173" s="251">
        <v>1</v>
      </c>
      <c r="C173" s="116" t="s">
        <v>64</v>
      </c>
      <c r="D173" s="253" t="s">
        <v>14</v>
      </c>
      <c r="E173" s="253" t="s">
        <v>17</v>
      </c>
      <c r="F173" s="98" t="s">
        <v>15</v>
      </c>
      <c r="G173" s="245" t="s">
        <v>16</v>
      </c>
      <c r="H173" s="109">
        <v>26</v>
      </c>
      <c r="I173" s="98"/>
      <c r="J173" s="109">
        <v>1</v>
      </c>
      <c r="K173" s="212">
        <v>25</v>
      </c>
    </row>
    <row r="174" spans="2:11" x14ac:dyDescent="0.25">
      <c r="B174" s="251"/>
      <c r="C174" s="87" t="s">
        <v>65</v>
      </c>
      <c r="D174" s="253"/>
      <c r="E174" s="253"/>
      <c r="F174" s="87" t="s">
        <v>27</v>
      </c>
      <c r="G174" s="245"/>
      <c r="H174" s="100">
        <v>31</v>
      </c>
      <c r="I174" s="88"/>
      <c r="J174" s="98">
        <v>2</v>
      </c>
      <c r="K174" s="99">
        <f t="shared" si="16"/>
        <v>29</v>
      </c>
    </row>
    <row r="175" spans="2:11" x14ac:dyDescent="0.25">
      <c r="B175" s="251"/>
      <c r="C175" s="87" t="s">
        <v>20</v>
      </c>
      <c r="D175" s="253"/>
      <c r="E175" s="253"/>
      <c r="F175" s="87" t="s">
        <v>27</v>
      </c>
      <c r="G175" s="245"/>
      <c r="H175" s="100">
        <v>23</v>
      </c>
      <c r="I175" s="88"/>
      <c r="J175" s="98">
        <v>1</v>
      </c>
      <c r="K175" s="99">
        <f t="shared" si="16"/>
        <v>22</v>
      </c>
    </row>
    <row r="176" spans="2:11" x14ac:dyDescent="0.25">
      <c r="B176" s="251"/>
      <c r="C176" s="87" t="s">
        <v>21</v>
      </c>
      <c r="D176" s="253"/>
      <c r="E176" s="253"/>
      <c r="F176" s="87" t="s">
        <v>27</v>
      </c>
      <c r="G176" s="245"/>
      <c r="H176" s="100">
        <v>26</v>
      </c>
      <c r="I176" s="88"/>
      <c r="J176" s="98">
        <v>1</v>
      </c>
      <c r="K176" s="99">
        <f t="shared" si="16"/>
        <v>25</v>
      </c>
    </row>
    <row r="177" spans="2:11" x14ac:dyDescent="0.25">
      <c r="B177" s="251"/>
      <c r="C177" s="87" t="s">
        <v>22</v>
      </c>
      <c r="D177" s="253"/>
      <c r="E177" s="253"/>
      <c r="F177" s="87" t="s">
        <v>27</v>
      </c>
      <c r="G177" s="245"/>
      <c r="H177" s="100">
        <v>25</v>
      </c>
      <c r="I177" s="88"/>
      <c r="J177" s="98">
        <v>1</v>
      </c>
      <c r="K177" s="99">
        <f t="shared" si="16"/>
        <v>24</v>
      </c>
    </row>
    <row r="178" spans="2:11" x14ac:dyDescent="0.25">
      <c r="B178" s="251"/>
      <c r="C178" s="87" t="s">
        <v>23</v>
      </c>
      <c r="D178" s="253"/>
      <c r="E178" s="253"/>
      <c r="F178" s="87" t="s">
        <v>27</v>
      </c>
      <c r="G178" s="245"/>
      <c r="H178" s="100">
        <v>24</v>
      </c>
      <c r="I178" s="88"/>
      <c r="J178" s="98">
        <v>1</v>
      </c>
      <c r="K178" s="99">
        <f t="shared" si="16"/>
        <v>23</v>
      </c>
    </row>
    <row r="179" spans="2:11" x14ac:dyDescent="0.25">
      <c r="B179" s="251"/>
      <c r="C179" s="87" t="s">
        <v>60</v>
      </c>
      <c r="D179" s="253"/>
      <c r="E179" s="253"/>
      <c r="F179" s="87" t="s">
        <v>27</v>
      </c>
      <c r="G179" s="245"/>
      <c r="H179" s="100">
        <v>28</v>
      </c>
      <c r="I179" s="88"/>
      <c r="J179" s="98">
        <v>1</v>
      </c>
      <c r="K179" s="99">
        <f t="shared" si="16"/>
        <v>27</v>
      </c>
    </row>
    <row r="180" spans="2:11" ht="21" x14ac:dyDescent="0.25">
      <c r="B180" s="80">
        <v>1</v>
      </c>
      <c r="C180" s="113" t="s">
        <v>64</v>
      </c>
      <c r="D180" s="91" t="s">
        <v>14</v>
      </c>
      <c r="E180" s="237" t="s">
        <v>17</v>
      </c>
      <c r="F180" s="91" t="s">
        <v>66</v>
      </c>
      <c r="G180" s="113"/>
      <c r="H180" s="109">
        <v>17</v>
      </c>
      <c r="I180" s="91"/>
      <c r="J180" s="109">
        <v>3</v>
      </c>
      <c r="K180" s="213">
        <f>H180-J180</f>
        <v>14</v>
      </c>
    </row>
    <row r="181" spans="2:11" x14ac:dyDescent="0.25">
      <c r="B181" s="80"/>
      <c r="C181" s="87" t="s">
        <v>65</v>
      </c>
      <c r="D181" s="91"/>
      <c r="E181" s="238"/>
      <c r="F181" s="87" t="s">
        <v>66</v>
      </c>
      <c r="G181" s="247" t="s">
        <v>25</v>
      </c>
      <c r="H181" s="100">
        <v>20</v>
      </c>
      <c r="I181" s="88"/>
      <c r="J181" s="91">
        <v>3</v>
      </c>
      <c r="K181" s="99">
        <f t="shared" si="16"/>
        <v>17</v>
      </c>
    </row>
    <row r="182" spans="2:11" x14ac:dyDescent="0.25">
      <c r="B182" s="80"/>
      <c r="C182" s="87" t="s">
        <v>20</v>
      </c>
      <c r="D182" s="91"/>
      <c r="E182" s="238"/>
      <c r="F182" s="87" t="s">
        <v>66</v>
      </c>
      <c r="G182" s="248"/>
      <c r="H182" s="100">
        <v>15</v>
      </c>
      <c r="I182" s="88"/>
      <c r="J182" s="91">
        <v>3</v>
      </c>
      <c r="K182" s="99">
        <f t="shared" si="16"/>
        <v>12</v>
      </c>
    </row>
    <row r="183" spans="2:11" x14ac:dyDescent="0.25">
      <c r="B183" s="80"/>
      <c r="C183" s="87" t="s">
        <v>21</v>
      </c>
      <c r="D183" s="91"/>
      <c r="E183" s="238"/>
      <c r="F183" s="87" t="s">
        <v>66</v>
      </c>
      <c r="G183" s="248"/>
      <c r="H183" s="100">
        <v>15</v>
      </c>
      <c r="I183" s="88"/>
      <c r="J183" s="91">
        <v>4</v>
      </c>
      <c r="K183" s="99">
        <f t="shared" si="16"/>
        <v>11</v>
      </c>
    </row>
    <row r="184" spans="2:11" x14ac:dyDescent="0.25">
      <c r="B184" s="80"/>
      <c r="C184" s="87" t="s">
        <v>22</v>
      </c>
      <c r="D184" s="91"/>
      <c r="E184" s="238"/>
      <c r="F184" s="87" t="s">
        <v>66</v>
      </c>
      <c r="G184" s="248"/>
      <c r="H184" s="100">
        <v>15</v>
      </c>
      <c r="I184" s="88"/>
      <c r="J184" s="91">
        <v>3</v>
      </c>
      <c r="K184" s="99">
        <f t="shared" si="16"/>
        <v>12</v>
      </c>
    </row>
    <row r="185" spans="2:11" x14ac:dyDescent="0.25">
      <c r="B185" s="80"/>
      <c r="C185" s="87" t="s">
        <v>23</v>
      </c>
      <c r="D185" s="91"/>
      <c r="E185" s="238"/>
      <c r="F185" s="87" t="s">
        <v>66</v>
      </c>
      <c r="G185" s="248"/>
      <c r="H185" s="100">
        <v>22</v>
      </c>
      <c r="I185" s="88"/>
      <c r="J185" s="91">
        <v>4</v>
      </c>
      <c r="K185" s="99">
        <f t="shared" si="16"/>
        <v>18</v>
      </c>
    </row>
    <row r="186" spans="2:11" x14ac:dyDescent="0.25">
      <c r="B186" s="80"/>
      <c r="C186" s="87" t="s">
        <v>60</v>
      </c>
      <c r="D186" s="91"/>
      <c r="E186" s="239"/>
      <c r="F186" s="87" t="s">
        <v>66</v>
      </c>
      <c r="G186" s="249"/>
      <c r="H186" s="100">
        <v>17</v>
      </c>
      <c r="I186" s="88"/>
      <c r="J186" s="91">
        <v>3</v>
      </c>
      <c r="K186" s="99">
        <f t="shared" si="16"/>
        <v>14</v>
      </c>
    </row>
    <row r="187" spans="2:11" ht="15.75" x14ac:dyDescent="0.25">
      <c r="B187" s="80">
        <v>1</v>
      </c>
      <c r="C187" s="113" t="s">
        <v>64</v>
      </c>
      <c r="D187" s="91" t="s">
        <v>14</v>
      </c>
      <c r="E187" s="237" t="s">
        <v>17</v>
      </c>
      <c r="F187" s="91" t="s">
        <v>67</v>
      </c>
      <c r="G187" s="113"/>
      <c r="H187" s="109">
        <v>25</v>
      </c>
      <c r="I187" s="91"/>
      <c r="J187" s="109">
        <v>6</v>
      </c>
      <c r="K187" s="214">
        <f>H187-J187</f>
        <v>19</v>
      </c>
    </row>
    <row r="188" spans="2:11" x14ac:dyDescent="0.25">
      <c r="B188" s="80"/>
      <c r="C188" s="87" t="s">
        <v>65</v>
      </c>
      <c r="D188" s="91"/>
      <c r="E188" s="238"/>
      <c r="F188" s="87" t="s">
        <v>68</v>
      </c>
      <c r="G188" s="247" t="s">
        <v>25</v>
      </c>
      <c r="H188" s="100">
        <v>27</v>
      </c>
      <c r="I188" s="88"/>
      <c r="J188" s="109">
        <v>6</v>
      </c>
      <c r="K188" s="99">
        <f t="shared" si="16"/>
        <v>21</v>
      </c>
    </row>
    <row r="189" spans="2:11" x14ac:dyDescent="0.25">
      <c r="B189" s="80"/>
      <c r="C189" s="87" t="s">
        <v>20</v>
      </c>
      <c r="D189" s="91"/>
      <c r="E189" s="238"/>
      <c r="F189" s="87" t="s">
        <v>68</v>
      </c>
      <c r="G189" s="248"/>
      <c r="H189" s="100">
        <v>25</v>
      </c>
      <c r="I189" s="88"/>
      <c r="J189" s="109">
        <v>6</v>
      </c>
      <c r="K189" s="99">
        <f t="shared" si="16"/>
        <v>19</v>
      </c>
    </row>
    <row r="190" spans="2:11" x14ac:dyDescent="0.25">
      <c r="B190" s="80"/>
      <c r="C190" s="87" t="s">
        <v>21</v>
      </c>
      <c r="D190" s="91"/>
      <c r="E190" s="238"/>
      <c r="F190" s="87" t="s">
        <v>68</v>
      </c>
      <c r="G190" s="248"/>
      <c r="H190" s="100">
        <v>25</v>
      </c>
      <c r="I190" s="88"/>
      <c r="J190" s="109">
        <v>6</v>
      </c>
      <c r="K190" s="99">
        <f t="shared" si="16"/>
        <v>19</v>
      </c>
    </row>
    <row r="191" spans="2:11" x14ac:dyDescent="0.25">
      <c r="B191" s="80"/>
      <c r="C191" s="87" t="s">
        <v>22</v>
      </c>
      <c r="D191" s="91"/>
      <c r="E191" s="238"/>
      <c r="F191" s="87" t="s">
        <v>68</v>
      </c>
      <c r="G191" s="248"/>
      <c r="H191" s="100">
        <v>25</v>
      </c>
      <c r="I191" s="88"/>
      <c r="J191" s="109">
        <v>6</v>
      </c>
      <c r="K191" s="99">
        <f t="shared" si="16"/>
        <v>19</v>
      </c>
    </row>
    <row r="192" spans="2:11" x14ac:dyDescent="0.25">
      <c r="B192" s="80"/>
      <c r="C192" s="87" t="s">
        <v>23</v>
      </c>
      <c r="D192" s="91"/>
      <c r="E192" s="238"/>
      <c r="F192" s="87" t="s">
        <v>68</v>
      </c>
      <c r="G192" s="248"/>
      <c r="H192" s="100">
        <v>26</v>
      </c>
      <c r="I192" s="88"/>
      <c r="J192" s="109">
        <v>6</v>
      </c>
      <c r="K192" s="99">
        <f t="shared" si="16"/>
        <v>20</v>
      </c>
    </row>
    <row r="193" spans="2:11" x14ac:dyDescent="0.25">
      <c r="B193" s="80"/>
      <c r="C193" s="87" t="s">
        <v>60</v>
      </c>
      <c r="D193" s="91"/>
      <c r="E193" s="239"/>
      <c r="F193" s="87" t="s">
        <v>68</v>
      </c>
      <c r="G193" s="249"/>
      <c r="H193" s="100">
        <v>25</v>
      </c>
      <c r="I193" s="88"/>
      <c r="J193" s="109">
        <v>6</v>
      </c>
      <c r="K193" s="99">
        <f t="shared" si="16"/>
        <v>19</v>
      </c>
    </row>
    <row r="194" spans="2:11" x14ac:dyDescent="0.25">
      <c r="B194" s="80">
        <v>1</v>
      </c>
      <c r="C194" s="116" t="s">
        <v>69</v>
      </c>
      <c r="D194" s="98" t="s">
        <v>14</v>
      </c>
      <c r="E194" s="98" t="s">
        <v>12</v>
      </c>
      <c r="F194" s="98" t="s">
        <v>15</v>
      </c>
      <c r="G194" s="245" t="s">
        <v>16</v>
      </c>
      <c r="H194" s="109">
        <v>34</v>
      </c>
      <c r="I194" s="98"/>
      <c r="J194" s="109">
        <v>5</v>
      </c>
      <c r="K194" s="110">
        <v>29</v>
      </c>
    </row>
    <row r="195" spans="2:11" x14ac:dyDescent="0.25">
      <c r="B195" s="80"/>
      <c r="C195" s="87" t="s">
        <v>40</v>
      </c>
      <c r="D195" s="98"/>
      <c r="E195" s="98"/>
      <c r="F195" s="87" t="s">
        <v>41</v>
      </c>
      <c r="G195" s="245"/>
      <c r="H195" s="100">
        <v>34</v>
      </c>
      <c r="I195" s="88"/>
      <c r="J195" s="98">
        <v>5</v>
      </c>
      <c r="K195" s="99">
        <f>H195-J195-I195</f>
        <v>29</v>
      </c>
    </row>
    <row r="196" spans="2:11" x14ac:dyDescent="0.25">
      <c r="B196" s="80"/>
      <c r="C196" s="87" t="s">
        <v>20</v>
      </c>
      <c r="D196" s="98"/>
      <c r="E196" s="98"/>
      <c r="F196" s="87" t="s">
        <v>41</v>
      </c>
      <c r="G196" s="245"/>
      <c r="H196" s="100">
        <v>34</v>
      </c>
      <c r="I196" s="88"/>
      <c r="J196" s="98">
        <v>5</v>
      </c>
      <c r="K196" s="99">
        <f t="shared" ref="K196:K200" si="17">H196-J196-I196</f>
        <v>29</v>
      </c>
    </row>
    <row r="197" spans="2:11" x14ac:dyDescent="0.25">
      <c r="B197" s="80"/>
      <c r="C197" s="87" t="s">
        <v>21</v>
      </c>
      <c r="D197" s="98"/>
      <c r="E197" s="98"/>
      <c r="F197" s="87" t="s">
        <v>41</v>
      </c>
      <c r="G197" s="245"/>
      <c r="H197" s="100">
        <v>33</v>
      </c>
      <c r="I197" s="88"/>
      <c r="J197" s="98">
        <v>5</v>
      </c>
      <c r="K197" s="99">
        <f t="shared" si="17"/>
        <v>28</v>
      </c>
    </row>
    <row r="198" spans="2:11" x14ac:dyDescent="0.25">
      <c r="B198" s="80"/>
      <c r="C198" s="87" t="s">
        <v>22</v>
      </c>
      <c r="D198" s="98"/>
      <c r="E198" s="98"/>
      <c r="F198" s="87" t="s">
        <v>41</v>
      </c>
      <c r="G198" s="245"/>
      <c r="H198" s="100">
        <v>34</v>
      </c>
      <c r="I198" s="88">
        <v>1</v>
      </c>
      <c r="J198" s="98">
        <v>5</v>
      </c>
      <c r="K198" s="99">
        <f t="shared" si="17"/>
        <v>28</v>
      </c>
    </row>
    <row r="199" spans="2:11" x14ac:dyDescent="0.25">
      <c r="B199" s="80"/>
      <c r="C199" s="87" t="s">
        <v>70</v>
      </c>
      <c r="D199" s="98"/>
      <c r="E199" s="98"/>
      <c r="F199" s="87" t="s">
        <v>41</v>
      </c>
      <c r="G199" s="245"/>
      <c r="H199" s="100">
        <v>35</v>
      </c>
      <c r="I199" s="88">
        <v>1</v>
      </c>
      <c r="J199" s="98">
        <v>5</v>
      </c>
      <c r="K199" s="99">
        <f t="shared" si="17"/>
        <v>29</v>
      </c>
    </row>
    <row r="200" spans="2:11" x14ac:dyDescent="0.25">
      <c r="B200" s="80"/>
      <c r="C200" s="87" t="s">
        <v>71</v>
      </c>
      <c r="D200" s="98"/>
      <c r="E200" s="98"/>
      <c r="F200" s="87" t="s">
        <v>41</v>
      </c>
      <c r="G200" s="245"/>
      <c r="H200" s="100">
        <v>34</v>
      </c>
      <c r="I200" s="88">
        <v>1</v>
      </c>
      <c r="J200" s="98">
        <v>5</v>
      </c>
      <c r="K200" s="99">
        <f t="shared" si="17"/>
        <v>28</v>
      </c>
    </row>
    <row r="201" spans="2:11" x14ac:dyDescent="0.25">
      <c r="B201" s="80">
        <v>1</v>
      </c>
      <c r="C201" s="116" t="s">
        <v>69</v>
      </c>
      <c r="D201" s="98" t="s">
        <v>14</v>
      </c>
      <c r="E201" s="98" t="s">
        <v>12</v>
      </c>
      <c r="F201" s="98" t="s">
        <v>43</v>
      </c>
      <c r="G201" s="245" t="s">
        <v>16</v>
      </c>
      <c r="H201" s="109">
        <v>20</v>
      </c>
      <c r="I201" s="235">
        <v>4</v>
      </c>
      <c r="J201" s="236"/>
      <c r="K201" s="110">
        <v>16</v>
      </c>
    </row>
    <row r="202" spans="2:11" x14ac:dyDescent="0.25">
      <c r="B202" s="80"/>
      <c r="C202" s="87" t="s">
        <v>40</v>
      </c>
      <c r="D202" s="98"/>
      <c r="E202" s="98"/>
      <c r="F202" s="87" t="s">
        <v>44</v>
      </c>
      <c r="G202" s="245"/>
      <c r="H202" s="100">
        <v>20</v>
      </c>
      <c r="I202" s="88">
        <v>2</v>
      </c>
      <c r="J202" s="98">
        <v>2</v>
      </c>
      <c r="K202" s="99">
        <f>H202-J202-I202</f>
        <v>16</v>
      </c>
    </row>
    <row r="203" spans="2:11" x14ac:dyDescent="0.25">
      <c r="B203" s="80"/>
      <c r="C203" s="87" t="s">
        <v>20</v>
      </c>
      <c r="D203" s="98"/>
      <c r="E203" s="98"/>
      <c r="F203" s="87" t="s">
        <v>44</v>
      </c>
      <c r="G203" s="245"/>
      <c r="H203" s="100">
        <v>20</v>
      </c>
      <c r="I203" s="88">
        <v>2</v>
      </c>
      <c r="J203" s="98">
        <v>2</v>
      </c>
      <c r="K203" s="99">
        <f t="shared" ref="K203:K207" si="18">H203-J203-I203</f>
        <v>16</v>
      </c>
    </row>
    <row r="204" spans="2:11" x14ac:dyDescent="0.25">
      <c r="B204" s="80"/>
      <c r="C204" s="87" t="s">
        <v>21</v>
      </c>
      <c r="D204" s="98"/>
      <c r="E204" s="98"/>
      <c r="F204" s="87" t="s">
        <v>44</v>
      </c>
      <c r="G204" s="245"/>
      <c r="H204" s="100">
        <v>20</v>
      </c>
      <c r="I204" s="88">
        <v>2</v>
      </c>
      <c r="J204" s="98">
        <v>2</v>
      </c>
      <c r="K204" s="99">
        <f t="shared" si="18"/>
        <v>16</v>
      </c>
    </row>
    <row r="205" spans="2:11" x14ac:dyDescent="0.25">
      <c r="B205" s="80"/>
      <c r="C205" s="87" t="s">
        <v>22</v>
      </c>
      <c r="D205" s="98"/>
      <c r="E205" s="98"/>
      <c r="F205" s="87" t="s">
        <v>44</v>
      </c>
      <c r="G205" s="245"/>
      <c r="H205" s="100">
        <v>18</v>
      </c>
      <c r="I205" s="88">
        <v>1</v>
      </c>
      <c r="J205" s="98">
        <v>2</v>
      </c>
      <c r="K205" s="99">
        <f t="shared" si="18"/>
        <v>15</v>
      </c>
    </row>
    <row r="206" spans="2:11" x14ac:dyDescent="0.25">
      <c r="B206" s="80"/>
      <c r="C206" s="87" t="s">
        <v>70</v>
      </c>
      <c r="D206" s="98"/>
      <c r="E206" s="98"/>
      <c r="F206" s="87" t="s">
        <v>44</v>
      </c>
      <c r="G206" s="245"/>
      <c r="H206" s="100">
        <v>19</v>
      </c>
      <c r="I206" s="88">
        <v>1</v>
      </c>
      <c r="J206" s="98">
        <v>2</v>
      </c>
      <c r="K206" s="99">
        <f t="shared" si="18"/>
        <v>16</v>
      </c>
    </row>
    <row r="207" spans="2:11" x14ac:dyDescent="0.25">
      <c r="B207" s="80"/>
      <c r="C207" s="87" t="s">
        <v>71</v>
      </c>
      <c r="D207" s="98"/>
      <c r="E207" s="98"/>
      <c r="F207" s="87" t="s">
        <v>44</v>
      </c>
      <c r="G207" s="245"/>
      <c r="H207" s="100">
        <v>20</v>
      </c>
      <c r="I207" s="88">
        <v>1</v>
      </c>
      <c r="J207" s="98">
        <v>2</v>
      </c>
      <c r="K207" s="99">
        <f t="shared" si="18"/>
        <v>17</v>
      </c>
    </row>
    <row r="208" spans="2:11" x14ac:dyDescent="0.25">
      <c r="B208" s="80">
        <v>1</v>
      </c>
      <c r="C208" s="119" t="s">
        <v>69</v>
      </c>
      <c r="D208" s="120" t="s">
        <v>14</v>
      </c>
      <c r="E208" s="250" t="s">
        <v>26</v>
      </c>
      <c r="F208" s="120" t="s">
        <v>15</v>
      </c>
      <c r="G208" s="244" t="s">
        <v>16</v>
      </c>
      <c r="H208" s="109">
        <v>22</v>
      </c>
      <c r="I208" s="109"/>
      <c r="J208" s="109">
        <v>3</v>
      </c>
      <c r="K208" s="110">
        <v>19</v>
      </c>
    </row>
    <row r="209" spans="2:11" x14ac:dyDescent="0.25">
      <c r="B209" s="80"/>
      <c r="C209" s="87" t="s">
        <v>40</v>
      </c>
      <c r="D209" s="120"/>
      <c r="E209" s="250"/>
      <c r="F209" s="121" t="s">
        <v>72</v>
      </c>
      <c r="G209" s="244"/>
      <c r="H209" s="100">
        <v>22</v>
      </c>
      <c r="I209" s="88"/>
      <c r="J209" s="98">
        <v>3</v>
      </c>
      <c r="K209" s="99">
        <f t="shared" si="16"/>
        <v>19</v>
      </c>
    </row>
    <row r="210" spans="2:11" x14ac:dyDescent="0.25">
      <c r="B210" s="80"/>
      <c r="C210" s="87" t="s">
        <v>20</v>
      </c>
      <c r="D210" s="120"/>
      <c r="E210" s="250"/>
      <c r="F210" s="121" t="s">
        <v>72</v>
      </c>
      <c r="G210" s="244"/>
      <c r="H210" s="100">
        <v>19</v>
      </c>
      <c r="I210" s="88"/>
      <c r="J210" s="98">
        <v>3</v>
      </c>
      <c r="K210" s="99">
        <f t="shared" si="16"/>
        <v>16</v>
      </c>
    </row>
    <row r="211" spans="2:11" x14ac:dyDescent="0.25">
      <c r="B211" s="80"/>
      <c r="C211" s="87" t="s">
        <v>21</v>
      </c>
      <c r="D211" s="120"/>
      <c r="E211" s="250"/>
      <c r="F211" s="121" t="s">
        <v>72</v>
      </c>
      <c r="G211" s="244"/>
      <c r="H211" s="100">
        <v>20</v>
      </c>
      <c r="I211" s="88"/>
      <c r="J211" s="98">
        <v>3</v>
      </c>
      <c r="K211" s="99">
        <f t="shared" si="16"/>
        <v>17</v>
      </c>
    </row>
    <row r="212" spans="2:11" x14ac:dyDescent="0.25">
      <c r="B212" s="80"/>
      <c r="C212" s="87" t="s">
        <v>22</v>
      </c>
      <c r="D212" s="120"/>
      <c r="E212" s="250"/>
      <c r="F212" s="121" t="s">
        <v>72</v>
      </c>
      <c r="G212" s="244"/>
      <c r="H212" s="100">
        <v>19</v>
      </c>
      <c r="I212" s="88"/>
      <c r="J212" s="98">
        <v>3</v>
      </c>
      <c r="K212" s="99">
        <f t="shared" si="16"/>
        <v>16</v>
      </c>
    </row>
    <row r="213" spans="2:11" x14ac:dyDescent="0.25">
      <c r="B213" s="80"/>
      <c r="C213" s="87" t="s">
        <v>70</v>
      </c>
      <c r="D213" s="120"/>
      <c r="E213" s="250"/>
      <c r="F213" s="121" t="s">
        <v>72</v>
      </c>
      <c r="G213" s="244"/>
      <c r="H213" s="100">
        <v>21</v>
      </c>
      <c r="I213" s="88"/>
      <c r="J213" s="98">
        <v>3</v>
      </c>
      <c r="K213" s="99">
        <f t="shared" si="16"/>
        <v>18</v>
      </c>
    </row>
    <row r="214" spans="2:11" x14ac:dyDescent="0.25">
      <c r="B214" s="80"/>
      <c r="C214" s="87" t="s">
        <v>71</v>
      </c>
      <c r="D214" s="120"/>
      <c r="E214" s="250"/>
      <c r="F214" s="121" t="s">
        <v>72</v>
      </c>
      <c r="G214" s="244"/>
      <c r="H214" s="100">
        <v>24</v>
      </c>
      <c r="I214" s="88"/>
      <c r="J214" s="98">
        <v>3</v>
      </c>
      <c r="K214" s="99">
        <f t="shared" si="16"/>
        <v>21</v>
      </c>
    </row>
    <row r="215" spans="2:11" x14ac:dyDescent="0.25">
      <c r="B215" s="80">
        <v>1</v>
      </c>
      <c r="C215" s="116" t="s">
        <v>73</v>
      </c>
      <c r="D215" s="98" t="s">
        <v>14</v>
      </c>
      <c r="E215" s="232" t="s">
        <v>12</v>
      </c>
      <c r="F215" s="98" t="s">
        <v>15</v>
      </c>
      <c r="G215" s="245" t="s">
        <v>16</v>
      </c>
      <c r="H215" s="95">
        <v>27</v>
      </c>
      <c r="I215" s="240">
        <f>I216+J216</f>
        <v>12</v>
      </c>
      <c r="J215" s="241"/>
      <c r="K215" s="99">
        <v>15</v>
      </c>
    </row>
    <row r="216" spans="2:11" x14ac:dyDescent="0.25">
      <c r="B216" s="80"/>
      <c r="C216" s="87" t="s">
        <v>40</v>
      </c>
      <c r="D216" s="98"/>
      <c r="E216" s="233"/>
      <c r="F216" s="98"/>
      <c r="G216" s="245"/>
      <c r="H216" s="100">
        <v>45</v>
      </c>
      <c r="I216" s="88">
        <v>1</v>
      </c>
      <c r="J216" s="98">
        <v>11</v>
      </c>
      <c r="K216" s="99">
        <f>H216-J216-I216</f>
        <v>33</v>
      </c>
    </row>
    <row r="217" spans="2:11" x14ac:dyDescent="0.25">
      <c r="B217" s="80"/>
      <c r="C217" s="87" t="s">
        <v>20</v>
      </c>
      <c r="D217" s="98"/>
      <c r="E217" s="233"/>
      <c r="F217" s="98"/>
      <c r="G217" s="245"/>
      <c r="H217" s="100">
        <v>27</v>
      </c>
      <c r="I217" s="88">
        <v>1</v>
      </c>
      <c r="J217" s="98">
        <v>11</v>
      </c>
      <c r="K217" s="99">
        <f>H217-J217-I217</f>
        <v>15</v>
      </c>
    </row>
    <row r="218" spans="2:11" x14ac:dyDescent="0.25">
      <c r="B218" s="80"/>
      <c r="C218" s="87" t="s">
        <v>21</v>
      </c>
      <c r="D218" s="98"/>
      <c r="E218" s="233"/>
      <c r="F218" s="98"/>
      <c r="G218" s="245"/>
      <c r="H218" s="100">
        <v>32</v>
      </c>
      <c r="I218" s="88">
        <v>1</v>
      </c>
      <c r="J218" s="98">
        <v>11</v>
      </c>
      <c r="K218" s="99">
        <f t="shared" ref="K218:K221" si="19">H218-J218-I218</f>
        <v>20</v>
      </c>
    </row>
    <row r="219" spans="2:11" x14ac:dyDescent="0.25">
      <c r="B219" s="80"/>
      <c r="C219" s="87" t="s">
        <v>22</v>
      </c>
      <c r="D219" s="98"/>
      <c r="E219" s="233"/>
      <c r="F219" s="98"/>
      <c r="G219" s="245"/>
      <c r="H219" s="100">
        <v>25</v>
      </c>
      <c r="I219" s="88">
        <v>1</v>
      </c>
      <c r="J219" s="98">
        <v>11</v>
      </c>
      <c r="K219" s="99">
        <f t="shared" si="19"/>
        <v>13</v>
      </c>
    </row>
    <row r="220" spans="2:11" x14ac:dyDescent="0.25">
      <c r="B220" s="80"/>
      <c r="C220" s="87" t="s">
        <v>23</v>
      </c>
      <c r="D220" s="98"/>
      <c r="E220" s="233"/>
      <c r="F220" s="98"/>
      <c r="G220" s="245"/>
      <c r="H220" s="100">
        <v>27</v>
      </c>
      <c r="I220" s="88">
        <v>1</v>
      </c>
      <c r="J220" s="98">
        <v>11</v>
      </c>
      <c r="K220" s="99">
        <f t="shared" si="19"/>
        <v>15</v>
      </c>
    </row>
    <row r="221" spans="2:11" x14ac:dyDescent="0.25">
      <c r="B221" s="80"/>
      <c r="C221" s="87" t="s">
        <v>74</v>
      </c>
      <c r="D221" s="98"/>
      <c r="E221" s="234"/>
      <c r="F221" s="98"/>
      <c r="G221" s="245"/>
      <c r="H221" s="100">
        <v>42</v>
      </c>
      <c r="I221" s="88">
        <v>1</v>
      </c>
      <c r="J221" s="98">
        <v>11</v>
      </c>
      <c r="K221" s="99">
        <f t="shared" si="19"/>
        <v>30</v>
      </c>
    </row>
    <row r="222" spans="2:11" x14ac:dyDescent="0.25">
      <c r="B222" s="80">
        <v>1</v>
      </c>
      <c r="C222" s="113" t="s">
        <v>73</v>
      </c>
      <c r="D222" s="91" t="s">
        <v>14</v>
      </c>
      <c r="E222" s="237" t="s">
        <v>17</v>
      </c>
      <c r="F222" s="91" t="s">
        <v>15</v>
      </c>
      <c r="G222" s="242" t="s">
        <v>16</v>
      </c>
      <c r="H222" s="95">
        <v>40</v>
      </c>
      <c r="I222" s="91"/>
      <c r="J222" s="91">
        <v>4</v>
      </c>
      <c r="K222" s="99">
        <v>36</v>
      </c>
    </row>
    <row r="223" spans="2:11" x14ac:dyDescent="0.25">
      <c r="B223" s="80"/>
      <c r="C223" s="87" t="s">
        <v>40</v>
      </c>
      <c r="D223" s="98"/>
      <c r="E223" s="238"/>
      <c r="F223" s="98"/>
      <c r="G223" s="242"/>
      <c r="H223" s="100">
        <v>32</v>
      </c>
      <c r="I223" s="88"/>
      <c r="J223" s="98">
        <v>5</v>
      </c>
      <c r="K223" s="99">
        <f t="shared" si="16"/>
        <v>27</v>
      </c>
    </row>
    <row r="224" spans="2:11" x14ac:dyDescent="0.25">
      <c r="B224" s="80"/>
      <c r="C224" s="87" t="s">
        <v>20</v>
      </c>
      <c r="D224" s="98"/>
      <c r="E224" s="238"/>
      <c r="F224" s="98"/>
      <c r="G224" s="242"/>
      <c r="H224" s="100">
        <v>36</v>
      </c>
      <c r="I224" s="88"/>
      <c r="J224" s="98">
        <v>4</v>
      </c>
      <c r="K224" s="99">
        <f t="shared" si="16"/>
        <v>32</v>
      </c>
    </row>
    <row r="225" spans="2:11" x14ac:dyDescent="0.25">
      <c r="B225" s="80"/>
      <c r="C225" s="87" t="s">
        <v>21</v>
      </c>
      <c r="D225" s="98"/>
      <c r="E225" s="238"/>
      <c r="F225" s="98"/>
      <c r="G225" s="242"/>
      <c r="H225" s="100">
        <v>35</v>
      </c>
      <c r="I225" s="88"/>
      <c r="J225" s="98">
        <v>4</v>
      </c>
      <c r="K225" s="99">
        <f t="shared" si="16"/>
        <v>31</v>
      </c>
    </row>
    <row r="226" spans="2:11" x14ac:dyDescent="0.25">
      <c r="B226" s="80"/>
      <c r="C226" s="87" t="s">
        <v>22</v>
      </c>
      <c r="D226" s="98"/>
      <c r="E226" s="238"/>
      <c r="F226" s="98"/>
      <c r="G226" s="242"/>
      <c r="H226" s="100">
        <v>33</v>
      </c>
      <c r="I226" s="88"/>
      <c r="J226" s="98">
        <v>5</v>
      </c>
      <c r="K226" s="99">
        <f t="shared" si="16"/>
        <v>28</v>
      </c>
    </row>
    <row r="227" spans="2:11" x14ac:dyDescent="0.25">
      <c r="B227" s="80"/>
      <c r="C227" s="87" t="s">
        <v>23</v>
      </c>
      <c r="D227" s="98"/>
      <c r="E227" s="238"/>
      <c r="F227" s="98"/>
      <c r="G227" s="242"/>
      <c r="H227" s="100">
        <v>47</v>
      </c>
      <c r="I227" s="88"/>
      <c r="J227" s="98">
        <v>5</v>
      </c>
      <c r="K227" s="99">
        <f t="shared" si="16"/>
        <v>42</v>
      </c>
    </row>
    <row r="228" spans="2:11" x14ac:dyDescent="0.25">
      <c r="B228" s="80"/>
      <c r="C228" s="87" t="s">
        <v>74</v>
      </c>
      <c r="D228" s="98"/>
      <c r="E228" s="239"/>
      <c r="F228" s="98"/>
      <c r="G228" s="242"/>
      <c r="H228" s="100">
        <v>40</v>
      </c>
      <c r="I228" s="88"/>
      <c r="J228" s="98">
        <v>4</v>
      </c>
      <c r="K228" s="99">
        <f t="shared" si="16"/>
        <v>36</v>
      </c>
    </row>
    <row r="229" spans="2:11" x14ac:dyDescent="0.25">
      <c r="B229" s="80">
        <v>1</v>
      </c>
      <c r="C229" s="113" t="s">
        <v>73</v>
      </c>
      <c r="D229" s="91" t="s">
        <v>14</v>
      </c>
      <c r="E229" s="91" t="s">
        <v>17</v>
      </c>
      <c r="F229" s="91" t="s">
        <v>43</v>
      </c>
      <c r="G229" s="247" t="s">
        <v>16</v>
      </c>
      <c r="H229" s="95"/>
      <c r="I229" s="91"/>
      <c r="J229" s="91"/>
      <c r="K229" s="99"/>
    </row>
    <row r="230" spans="2:11" x14ac:dyDescent="0.25">
      <c r="B230" s="80"/>
      <c r="C230" s="87" t="s">
        <v>40</v>
      </c>
      <c r="D230" s="98"/>
      <c r="E230" s="98"/>
      <c r="F230" s="98"/>
      <c r="G230" s="249"/>
      <c r="H230" s="100">
        <v>39</v>
      </c>
      <c r="I230" s="88"/>
      <c r="J230" s="98">
        <v>0</v>
      </c>
      <c r="K230" s="99">
        <f t="shared" si="16"/>
        <v>39</v>
      </c>
    </row>
    <row r="231" spans="2:11" x14ac:dyDescent="0.25">
      <c r="B231" s="80">
        <v>1</v>
      </c>
      <c r="C231" s="116" t="s">
        <v>75</v>
      </c>
      <c r="D231" s="98" t="s">
        <v>14</v>
      </c>
      <c r="E231" s="232" t="s">
        <v>12</v>
      </c>
      <c r="F231" s="232" t="s">
        <v>15</v>
      </c>
      <c r="G231" s="245" t="s">
        <v>16</v>
      </c>
      <c r="H231" s="95">
        <v>28</v>
      </c>
      <c r="I231" s="98"/>
      <c r="J231" s="98">
        <v>3</v>
      </c>
      <c r="K231" s="99">
        <v>25</v>
      </c>
    </row>
    <row r="232" spans="2:11" x14ac:dyDescent="0.25">
      <c r="B232" s="80"/>
      <c r="C232" s="87" t="s">
        <v>40</v>
      </c>
      <c r="D232" s="98"/>
      <c r="E232" s="233"/>
      <c r="F232" s="233"/>
      <c r="G232" s="245"/>
      <c r="H232" s="100">
        <v>28</v>
      </c>
      <c r="I232" s="88"/>
      <c r="J232" s="98">
        <v>3</v>
      </c>
      <c r="K232" s="99">
        <f t="shared" si="16"/>
        <v>25</v>
      </c>
    </row>
    <row r="233" spans="2:11" x14ac:dyDescent="0.25">
      <c r="B233" s="80"/>
      <c r="C233" s="87" t="s">
        <v>20</v>
      </c>
      <c r="D233" s="98"/>
      <c r="E233" s="233"/>
      <c r="F233" s="233"/>
      <c r="G233" s="245"/>
      <c r="H233" s="100">
        <v>25</v>
      </c>
      <c r="I233" s="88"/>
      <c r="J233" s="98">
        <v>3</v>
      </c>
      <c r="K233" s="99">
        <f t="shared" ref="K233:K282" si="20">H233-J233</f>
        <v>22</v>
      </c>
    </row>
    <row r="234" spans="2:11" x14ac:dyDescent="0.25">
      <c r="B234" s="80"/>
      <c r="C234" s="87" t="s">
        <v>22</v>
      </c>
      <c r="D234" s="98"/>
      <c r="E234" s="233"/>
      <c r="F234" s="233"/>
      <c r="G234" s="245"/>
      <c r="H234" s="100">
        <v>25</v>
      </c>
      <c r="I234" s="88"/>
      <c r="J234" s="98">
        <v>3</v>
      </c>
      <c r="K234" s="99">
        <f t="shared" si="20"/>
        <v>22</v>
      </c>
    </row>
    <row r="235" spans="2:11" x14ac:dyDescent="0.25">
      <c r="B235" s="80"/>
      <c r="C235" s="87" t="s">
        <v>21</v>
      </c>
      <c r="D235" s="98"/>
      <c r="E235" s="233"/>
      <c r="F235" s="233"/>
      <c r="G235" s="245"/>
      <c r="H235" s="100">
        <v>29</v>
      </c>
      <c r="I235" s="88"/>
      <c r="J235" s="98">
        <v>3</v>
      </c>
      <c r="K235" s="99">
        <f t="shared" si="20"/>
        <v>26</v>
      </c>
    </row>
    <row r="236" spans="2:11" x14ac:dyDescent="0.25">
      <c r="B236" s="80"/>
      <c r="C236" s="87" t="s">
        <v>76</v>
      </c>
      <c r="D236" s="98"/>
      <c r="E236" s="233"/>
      <c r="F236" s="233"/>
      <c r="G236" s="245"/>
      <c r="H236" s="100">
        <v>28</v>
      </c>
      <c r="I236" s="88"/>
      <c r="J236" s="98">
        <v>3</v>
      </c>
      <c r="K236" s="99">
        <f t="shared" si="20"/>
        <v>25</v>
      </c>
    </row>
    <row r="237" spans="2:11" x14ac:dyDescent="0.25">
      <c r="B237" s="80"/>
      <c r="C237" s="87" t="s">
        <v>71</v>
      </c>
      <c r="D237" s="98"/>
      <c r="E237" s="234"/>
      <c r="F237" s="234"/>
      <c r="G237" s="245"/>
      <c r="H237" s="100">
        <v>27</v>
      </c>
      <c r="I237" s="88"/>
      <c r="J237" s="98">
        <v>3</v>
      </c>
      <c r="K237" s="99">
        <f t="shared" si="20"/>
        <v>24</v>
      </c>
    </row>
    <row r="238" spans="2:11" x14ac:dyDescent="0.25">
      <c r="B238" s="80">
        <v>1</v>
      </c>
      <c r="C238" s="117" t="s">
        <v>75</v>
      </c>
      <c r="D238" s="84" t="s">
        <v>14</v>
      </c>
      <c r="E238" s="84" t="s">
        <v>1</v>
      </c>
      <c r="F238" s="84" t="s">
        <v>15</v>
      </c>
      <c r="G238" s="246" t="s">
        <v>16</v>
      </c>
      <c r="H238" s="95">
        <v>44</v>
      </c>
      <c r="I238" s="84">
        <v>9</v>
      </c>
      <c r="J238" s="84"/>
      <c r="K238" s="99">
        <v>35</v>
      </c>
    </row>
    <row r="239" spans="2:11" x14ac:dyDescent="0.25">
      <c r="B239" s="80"/>
      <c r="C239" s="87" t="s">
        <v>40</v>
      </c>
      <c r="D239" s="84"/>
      <c r="E239" s="84"/>
      <c r="F239" s="84"/>
      <c r="G239" s="246"/>
      <c r="H239" s="100">
        <v>46</v>
      </c>
      <c r="I239" s="88">
        <v>1</v>
      </c>
      <c r="J239" s="84">
        <v>8</v>
      </c>
      <c r="K239" s="99">
        <f>H239-J239-I239</f>
        <v>37</v>
      </c>
    </row>
    <row r="240" spans="2:11" x14ac:dyDescent="0.25">
      <c r="B240" s="80"/>
      <c r="C240" s="87" t="s">
        <v>20</v>
      </c>
      <c r="D240" s="84"/>
      <c r="E240" s="84"/>
      <c r="F240" s="84"/>
      <c r="G240" s="246"/>
      <c r="H240" s="100">
        <v>44</v>
      </c>
      <c r="I240" s="88">
        <v>1</v>
      </c>
      <c r="J240" s="84">
        <v>8</v>
      </c>
      <c r="K240" s="99">
        <f t="shared" ref="K240:K244" si="21">H240-J240-I240</f>
        <v>35</v>
      </c>
    </row>
    <row r="241" spans="2:11" x14ac:dyDescent="0.25">
      <c r="B241" s="80"/>
      <c r="C241" s="87" t="s">
        <v>22</v>
      </c>
      <c r="D241" s="84"/>
      <c r="E241" s="84"/>
      <c r="F241" s="84"/>
      <c r="G241" s="246"/>
      <c r="H241" s="100">
        <v>43</v>
      </c>
      <c r="I241" s="88">
        <v>1</v>
      </c>
      <c r="J241" s="84">
        <v>8</v>
      </c>
      <c r="K241" s="99">
        <f t="shared" si="21"/>
        <v>34</v>
      </c>
    </row>
    <row r="242" spans="2:11" x14ac:dyDescent="0.25">
      <c r="B242" s="80"/>
      <c r="C242" s="87" t="s">
        <v>21</v>
      </c>
      <c r="D242" s="84"/>
      <c r="E242" s="84"/>
      <c r="F242" s="84"/>
      <c r="G242" s="246"/>
      <c r="H242" s="100">
        <v>45</v>
      </c>
      <c r="I242" s="88">
        <v>1</v>
      </c>
      <c r="J242" s="84">
        <v>8</v>
      </c>
      <c r="K242" s="99">
        <f t="shared" si="21"/>
        <v>36</v>
      </c>
    </row>
    <row r="243" spans="2:11" x14ac:dyDescent="0.25">
      <c r="B243" s="80"/>
      <c r="C243" s="87" t="s">
        <v>76</v>
      </c>
      <c r="D243" s="84"/>
      <c r="E243" s="84"/>
      <c r="F243" s="84"/>
      <c r="G243" s="246"/>
      <c r="H243" s="100">
        <v>46</v>
      </c>
      <c r="I243" s="88">
        <v>1</v>
      </c>
      <c r="J243" s="84">
        <v>8</v>
      </c>
      <c r="K243" s="99">
        <f t="shared" si="21"/>
        <v>37</v>
      </c>
    </row>
    <row r="244" spans="2:11" x14ac:dyDescent="0.25">
      <c r="B244" s="80"/>
      <c r="C244" s="87" t="s">
        <v>71</v>
      </c>
      <c r="D244" s="84"/>
      <c r="E244" s="84"/>
      <c r="F244" s="84"/>
      <c r="G244" s="246"/>
      <c r="H244" s="100">
        <v>44</v>
      </c>
      <c r="I244" s="88">
        <v>1</v>
      </c>
      <c r="J244" s="84">
        <v>8</v>
      </c>
      <c r="K244" s="99">
        <f t="shared" si="21"/>
        <v>35</v>
      </c>
    </row>
    <row r="245" spans="2:11" x14ac:dyDescent="0.25">
      <c r="B245" s="80">
        <v>1</v>
      </c>
      <c r="C245" s="117" t="s">
        <v>75</v>
      </c>
      <c r="D245" s="84" t="s">
        <v>14</v>
      </c>
      <c r="E245" s="84" t="s">
        <v>1</v>
      </c>
      <c r="F245" s="84" t="s">
        <v>43</v>
      </c>
      <c r="G245" s="246" t="s">
        <v>25</v>
      </c>
      <c r="H245" s="95">
        <v>20</v>
      </c>
      <c r="I245" s="84">
        <v>2</v>
      </c>
      <c r="J245" s="84"/>
      <c r="K245" s="99">
        <v>18</v>
      </c>
    </row>
    <row r="246" spans="2:11" x14ac:dyDescent="0.25">
      <c r="B246" s="80"/>
      <c r="C246" s="87" t="s">
        <v>40</v>
      </c>
      <c r="D246" s="84"/>
      <c r="E246" s="84"/>
      <c r="F246" s="84"/>
      <c r="G246" s="246"/>
      <c r="H246" s="100">
        <v>24</v>
      </c>
      <c r="I246" s="88">
        <v>1</v>
      </c>
      <c r="J246" s="84">
        <v>1</v>
      </c>
      <c r="K246" s="99">
        <f>H246-J246-I246</f>
        <v>22</v>
      </c>
    </row>
    <row r="247" spans="2:11" x14ac:dyDescent="0.25">
      <c r="B247" s="80"/>
      <c r="C247" s="87" t="s">
        <v>20</v>
      </c>
      <c r="D247" s="84"/>
      <c r="E247" s="84"/>
      <c r="F247" s="84"/>
      <c r="G247" s="246"/>
      <c r="H247" s="100">
        <v>20</v>
      </c>
      <c r="I247" s="88">
        <v>1</v>
      </c>
      <c r="J247" s="84">
        <v>1</v>
      </c>
      <c r="K247" s="99">
        <f t="shared" ref="K247:K251" si="22">H247-J247-I247</f>
        <v>18</v>
      </c>
    </row>
    <row r="248" spans="2:11" x14ac:dyDescent="0.25">
      <c r="B248" s="80"/>
      <c r="C248" s="87" t="s">
        <v>22</v>
      </c>
      <c r="D248" s="84"/>
      <c r="E248" s="84"/>
      <c r="F248" s="84"/>
      <c r="G248" s="246"/>
      <c r="H248" s="100">
        <v>20</v>
      </c>
      <c r="I248" s="88">
        <v>1</v>
      </c>
      <c r="J248" s="84">
        <v>1</v>
      </c>
      <c r="K248" s="99">
        <f t="shared" si="22"/>
        <v>18</v>
      </c>
    </row>
    <row r="249" spans="2:11" x14ac:dyDescent="0.25">
      <c r="B249" s="80"/>
      <c r="C249" s="87" t="s">
        <v>21</v>
      </c>
      <c r="D249" s="84"/>
      <c r="E249" s="84"/>
      <c r="F249" s="84"/>
      <c r="G249" s="246"/>
      <c r="H249" s="100">
        <v>21</v>
      </c>
      <c r="I249" s="88">
        <v>1</v>
      </c>
      <c r="J249" s="84">
        <v>1</v>
      </c>
      <c r="K249" s="99">
        <f t="shared" si="22"/>
        <v>19</v>
      </c>
    </row>
    <row r="250" spans="2:11" x14ac:dyDescent="0.25">
      <c r="B250" s="80"/>
      <c r="C250" s="87" t="s">
        <v>76</v>
      </c>
      <c r="D250" s="84"/>
      <c r="E250" s="84"/>
      <c r="F250" s="84"/>
      <c r="G250" s="246"/>
      <c r="H250" s="100">
        <v>20</v>
      </c>
      <c r="I250" s="88">
        <v>1</v>
      </c>
      <c r="J250" s="84">
        <v>1</v>
      </c>
      <c r="K250" s="99">
        <f>H250-J250-I250</f>
        <v>18</v>
      </c>
    </row>
    <row r="251" spans="2:11" x14ac:dyDescent="0.25">
      <c r="B251" s="80"/>
      <c r="C251" s="87" t="s">
        <v>71</v>
      </c>
      <c r="D251" s="84"/>
      <c r="E251" s="84"/>
      <c r="F251" s="84"/>
      <c r="G251" s="246"/>
      <c r="H251" s="100">
        <v>23</v>
      </c>
      <c r="I251" s="88">
        <v>1</v>
      </c>
      <c r="J251" s="84">
        <v>1</v>
      </c>
      <c r="K251" s="99">
        <f t="shared" si="22"/>
        <v>21</v>
      </c>
    </row>
    <row r="252" spans="2:11" x14ac:dyDescent="0.25">
      <c r="B252" s="80">
        <v>1</v>
      </c>
      <c r="C252" s="113" t="s">
        <v>75</v>
      </c>
      <c r="D252" s="91" t="s">
        <v>14</v>
      </c>
      <c r="E252" s="91" t="s">
        <v>17</v>
      </c>
      <c r="F252" s="91" t="s">
        <v>15</v>
      </c>
      <c r="G252" s="242" t="s">
        <v>16</v>
      </c>
      <c r="H252" s="109">
        <v>24</v>
      </c>
      <c r="I252" s="91"/>
      <c r="J252" s="109">
        <v>3</v>
      </c>
      <c r="K252" s="110">
        <v>21</v>
      </c>
    </row>
    <row r="253" spans="2:11" x14ac:dyDescent="0.25">
      <c r="B253" s="80"/>
      <c r="C253" s="87" t="s">
        <v>40</v>
      </c>
      <c r="D253" s="91"/>
      <c r="E253" s="91"/>
      <c r="F253" s="91"/>
      <c r="G253" s="242"/>
      <c r="H253" s="100">
        <v>36</v>
      </c>
      <c r="I253" s="88"/>
      <c r="J253" s="91">
        <v>3</v>
      </c>
      <c r="K253" s="99">
        <f t="shared" si="20"/>
        <v>33</v>
      </c>
    </row>
    <row r="254" spans="2:11" x14ac:dyDescent="0.25">
      <c r="B254" s="80"/>
      <c r="C254" s="87" t="s">
        <v>20</v>
      </c>
      <c r="D254" s="91"/>
      <c r="E254" s="91"/>
      <c r="F254" s="91"/>
      <c r="G254" s="242"/>
      <c r="H254" s="100">
        <v>22</v>
      </c>
      <c r="I254" s="88"/>
      <c r="J254" s="91">
        <v>3</v>
      </c>
      <c r="K254" s="99">
        <f t="shared" si="20"/>
        <v>19</v>
      </c>
    </row>
    <row r="255" spans="2:11" x14ac:dyDescent="0.25">
      <c r="B255" s="80"/>
      <c r="C255" s="87" t="s">
        <v>22</v>
      </c>
      <c r="D255" s="91"/>
      <c r="E255" s="91"/>
      <c r="F255" s="91"/>
      <c r="G255" s="242"/>
      <c r="H255" s="100">
        <v>23</v>
      </c>
      <c r="I255" s="88"/>
      <c r="J255" s="91">
        <v>3</v>
      </c>
      <c r="K255" s="99">
        <f t="shared" si="20"/>
        <v>20</v>
      </c>
    </row>
    <row r="256" spans="2:11" x14ac:dyDescent="0.25">
      <c r="B256" s="80"/>
      <c r="C256" s="87" t="s">
        <v>21</v>
      </c>
      <c r="D256" s="91"/>
      <c r="E256" s="91"/>
      <c r="F256" s="91"/>
      <c r="G256" s="242"/>
      <c r="H256" s="100">
        <v>24</v>
      </c>
      <c r="I256" s="88"/>
      <c r="J256" s="91">
        <v>3</v>
      </c>
      <c r="K256" s="99">
        <f t="shared" si="20"/>
        <v>21</v>
      </c>
    </row>
    <row r="257" spans="2:11" x14ac:dyDescent="0.25">
      <c r="B257" s="80"/>
      <c r="C257" s="87" t="s">
        <v>76</v>
      </c>
      <c r="D257" s="91"/>
      <c r="E257" s="91"/>
      <c r="F257" s="91"/>
      <c r="G257" s="242"/>
      <c r="H257" s="100">
        <v>24</v>
      </c>
      <c r="I257" s="88"/>
      <c r="J257" s="91">
        <v>3</v>
      </c>
      <c r="K257" s="99">
        <f t="shared" si="20"/>
        <v>21</v>
      </c>
    </row>
    <row r="258" spans="2:11" x14ac:dyDescent="0.25">
      <c r="B258" s="80"/>
      <c r="C258" s="87" t="s">
        <v>71</v>
      </c>
      <c r="D258" s="91"/>
      <c r="E258" s="91"/>
      <c r="F258" s="91"/>
      <c r="G258" s="242"/>
      <c r="H258" s="100">
        <v>23</v>
      </c>
      <c r="I258" s="88"/>
      <c r="J258" s="91">
        <v>3</v>
      </c>
      <c r="K258" s="99">
        <f t="shared" si="20"/>
        <v>20</v>
      </c>
    </row>
    <row r="259" spans="2:11" x14ac:dyDescent="0.25">
      <c r="B259" s="80">
        <v>1</v>
      </c>
      <c r="C259" s="113" t="s">
        <v>75</v>
      </c>
      <c r="D259" s="91" t="s">
        <v>14</v>
      </c>
      <c r="E259" s="91" t="s">
        <v>17</v>
      </c>
      <c r="F259" s="91" t="s">
        <v>43</v>
      </c>
      <c r="G259" s="113"/>
      <c r="H259" s="109">
        <v>20</v>
      </c>
      <c r="I259" s="91"/>
      <c r="J259" s="109">
        <v>3</v>
      </c>
      <c r="K259" s="110">
        <v>17</v>
      </c>
    </row>
    <row r="260" spans="2:11" x14ac:dyDescent="0.25">
      <c r="B260" s="80"/>
      <c r="C260" s="87" t="s">
        <v>40</v>
      </c>
      <c r="D260" s="91"/>
      <c r="E260" s="91"/>
      <c r="F260" s="91"/>
      <c r="G260" s="247" t="s">
        <v>25</v>
      </c>
      <c r="H260" s="100">
        <v>24</v>
      </c>
      <c r="I260" s="88"/>
      <c r="J260" s="91">
        <v>3</v>
      </c>
      <c r="K260" s="99">
        <f t="shared" si="20"/>
        <v>21</v>
      </c>
    </row>
    <row r="261" spans="2:11" x14ac:dyDescent="0.25">
      <c r="B261" s="80"/>
      <c r="C261" s="87" t="s">
        <v>20</v>
      </c>
      <c r="D261" s="91"/>
      <c r="E261" s="91"/>
      <c r="F261" s="91"/>
      <c r="G261" s="248"/>
      <c r="H261" s="100">
        <v>18</v>
      </c>
      <c r="I261" s="88"/>
      <c r="J261" s="91">
        <v>3</v>
      </c>
      <c r="K261" s="99">
        <f t="shared" si="20"/>
        <v>15</v>
      </c>
    </row>
    <row r="262" spans="2:11" x14ac:dyDescent="0.25">
      <c r="B262" s="80"/>
      <c r="C262" s="87" t="s">
        <v>22</v>
      </c>
      <c r="D262" s="91"/>
      <c r="E262" s="91"/>
      <c r="F262" s="91"/>
      <c r="G262" s="248"/>
      <c r="H262" s="100">
        <v>20</v>
      </c>
      <c r="I262" s="88"/>
      <c r="J262" s="91">
        <v>3</v>
      </c>
      <c r="K262" s="99">
        <f t="shared" si="20"/>
        <v>17</v>
      </c>
    </row>
    <row r="263" spans="2:11" x14ac:dyDescent="0.25">
      <c r="B263" s="80"/>
      <c r="C263" s="87" t="s">
        <v>21</v>
      </c>
      <c r="D263" s="91"/>
      <c r="E263" s="91"/>
      <c r="F263" s="91"/>
      <c r="G263" s="248"/>
      <c r="H263" s="100">
        <v>20</v>
      </c>
      <c r="I263" s="88"/>
      <c r="J263" s="91">
        <v>3</v>
      </c>
      <c r="K263" s="99">
        <f t="shared" si="20"/>
        <v>17</v>
      </c>
    </row>
    <row r="264" spans="2:11" x14ac:dyDescent="0.25">
      <c r="B264" s="80"/>
      <c r="C264" s="87" t="s">
        <v>76</v>
      </c>
      <c r="D264" s="91"/>
      <c r="E264" s="91"/>
      <c r="F264" s="91"/>
      <c r="G264" s="248"/>
      <c r="H264" s="100">
        <v>20</v>
      </c>
      <c r="I264" s="88"/>
      <c r="J264" s="91">
        <v>3</v>
      </c>
      <c r="K264" s="99">
        <f t="shared" si="20"/>
        <v>17</v>
      </c>
    </row>
    <row r="265" spans="2:11" x14ac:dyDescent="0.25">
      <c r="B265" s="80"/>
      <c r="C265" s="87" t="s">
        <v>71</v>
      </c>
      <c r="D265" s="91"/>
      <c r="E265" s="91"/>
      <c r="F265" s="91"/>
      <c r="G265" s="249"/>
      <c r="H265" s="100">
        <v>21</v>
      </c>
      <c r="I265" s="88"/>
      <c r="J265" s="91">
        <v>3</v>
      </c>
      <c r="K265" s="99">
        <f t="shared" si="20"/>
        <v>18</v>
      </c>
    </row>
    <row r="266" spans="2:11" x14ac:dyDescent="0.25">
      <c r="B266" s="80">
        <v>1</v>
      </c>
      <c r="C266" s="116" t="s">
        <v>77</v>
      </c>
      <c r="D266" s="98" t="s">
        <v>14</v>
      </c>
      <c r="E266" s="98" t="s">
        <v>12</v>
      </c>
      <c r="F266" s="98" t="s">
        <v>15</v>
      </c>
      <c r="G266" s="107" t="s">
        <v>16</v>
      </c>
      <c r="H266" s="100">
        <v>2</v>
      </c>
      <c r="I266" s="88"/>
      <c r="J266" s="98"/>
      <c r="K266" s="99">
        <f t="shared" si="20"/>
        <v>2</v>
      </c>
    </row>
    <row r="267" spans="2:11" x14ac:dyDescent="0.25">
      <c r="B267" s="80">
        <v>1</v>
      </c>
      <c r="C267" s="113" t="s">
        <v>77</v>
      </c>
      <c r="D267" s="91" t="s">
        <v>14</v>
      </c>
      <c r="E267" s="91" t="s">
        <v>17</v>
      </c>
      <c r="F267" s="91" t="s">
        <v>15</v>
      </c>
      <c r="G267" s="102" t="s">
        <v>16</v>
      </c>
      <c r="H267" s="100">
        <v>1</v>
      </c>
      <c r="I267" s="88"/>
      <c r="J267" s="91"/>
      <c r="K267" s="99">
        <f t="shared" si="20"/>
        <v>1</v>
      </c>
    </row>
    <row r="268" spans="2:11" x14ac:dyDescent="0.25">
      <c r="B268" s="80">
        <v>1</v>
      </c>
      <c r="C268" s="116" t="s">
        <v>78</v>
      </c>
      <c r="D268" s="98" t="s">
        <v>14</v>
      </c>
      <c r="E268" s="98" t="s">
        <v>12</v>
      </c>
      <c r="F268" s="98" t="s">
        <v>15</v>
      </c>
      <c r="G268" s="245" t="s">
        <v>16</v>
      </c>
      <c r="H268" s="95">
        <v>6</v>
      </c>
      <c r="I268" s="98"/>
      <c r="J268" s="98">
        <v>6</v>
      </c>
      <c r="K268" s="99">
        <f t="shared" si="20"/>
        <v>0</v>
      </c>
    </row>
    <row r="269" spans="2:11" x14ac:dyDescent="0.25">
      <c r="B269" s="80"/>
      <c r="C269" s="87" t="s">
        <v>18</v>
      </c>
      <c r="D269" s="98"/>
      <c r="E269" s="98"/>
      <c r="F269" s="87" t="s">
        <v>41</v>
      </c>
      <c r="G269" s="245"/>
      <c r="H269" s="100">
        <v>6</v>
      </c>
      <c r="I269" s="88"/>
      <c r="J269" s="98">
        <v>6</v>
      </c>
      <c r="K269" s="99">
        <f t="shared" si="20"/>
        <v>0</v>
      </c>
    </row>
    <row r="270" spans="2:11" x14ac:dyDescent="0.25">
      <c r="B270" s="80"/>
      <c r="C270" s="87" t="s">
        <v>20</v>
      </c>
      <c r="D270" s="98"/>
      <c r="E270" s="98"/>
      <c r="F270" s="87" t="s">
        <v>41</v>
      </c>
      <c r="G270" s="245"/>
      <c r="H270" s="100">
        <v>6</v>
      </c>
      <c r="I270" s="88"/>
      <c r="J270" s="98">
        <v>6</v>
      </c>
      <c r="K270" s="99">
        <f t="shared" si="20"/>
        <v>0</v>
      </c>
    </row>
    <row r="271" spans="2:11" x14ac:dyDescent="0.25">
      <c r="B271" s="80"/>
      <c r="C271" s="87" t="s">
        <v>22</v>
      </c>
      <c r="D271" s="98"/>
      <c r="E271" s="98"/>
      <c r="F271" s="87" t="s">
        <v>41</v>
      </c>
      <c r="G271" s="245"/>
      <c r="H271" s="100">
        <v>6</v>
      </c>
      <c r="I271" s="88"/>
      <c r="J271" s="98">
        <v>6</v>
      </c>
      <c r="K271" s="99">
        <f t="shared" si="20"/>
        <v>0</v>
      </c>
    </row>
    <row r="272" spans="2:11" x14ac:dyDescent="0.25">
      <c r="B272" s="80"/>
      <c r="C272" s="87" t="s">
        <v>21</v>
      </c>
      <c r="D272" s="98"/>
      <c r="E272" s="98"/>
      <c r="F272" s="87" t="s">
        <v>41</v>
      </c>
      <c r="G272" s="245"/>
      <c r="H272" s="100">
        <v>6</v>
      </c>
      <c r="I272" s="88"/>
      <c r="J272" s="98">
        <v>6</v>
      </c>
      <c r="K272" s="99">
        <f t="shared" si="20"/>
        <v>0</v>
      </c>
    </row>
    <row r="273" spans="2:11" x14ac:dyDescent="0.25">
      <c r="B273" s="80"/>
      <c r="C273" s="87" t="s">
        <v>79</v>
      </c>
      <c r="D273" s="98"/>
      <c r="E273" s="98"/>
      <c r="F273" s="87" t="s">
        <v>41</v>
      </c>
      <c r="G273" s="245"/>
      <c r="H273" s="100">
        <v>6</v>
      </c>
      <c r="I273" s="88"/>
      <c r="J273" s="98">
        <v>6</v>
      </c>
      <c r="K273" s="99">
        <f t="shared" si="20"/>
        <v>0</v>
      </c>
    </row>
    <row r="274" spans="2:11" x14ac:dyDescent="0.25">
      <c r="B274" s="80"/>
      <c r="C274" s="87" t="s">
        <v>80</v>
      </c>
      <c r="D274" s="98"/>
      <c r="E274" s="98"/>
      <c r="F274" s="87" t="s">
        <v>41</v>
      </c>
      <c r="G274" s="245"/>
      <c r="H274" s="100">
        <v>6</v>
      </c>
      <c r="I274" s="88"/>
      <c r="J274" s="98">
        <v>6</v>
      </c>
      <c r="K274" s="99">
        <f t="shared" si="20"/>
        <v>0</v>
      </c>
    </row>
    <row r="275" spans="2:11" x14ac:dyDescent="0.25">
      <c r="B275" s="80">
        <v>1</v>
      </c>
      <c r="C275" s="113" t="s">
        <v>78</v>
      </c>
      <c r="D275" s="91" t="s">
        <v>14</v>
      </c>
      <c r="E275" s="91" t="s">
        <v>17</v>
      </c>
      <c r="F275" s="91" t="s">
        <v>15</v>
      </c>
      <c r="G275" s="242" t="s">
        <v>16</v>
      </c>
      <c r="H275" s="95">
        <v>11</v>
      </c>
      <c r="I275" s="91"/>
      <c r="J275" s="91">
        <v>1</v>
      </c>
      <c r="K275" s="99">
        <f t="shared" si="20"/>
        <v>10</v>
      </c>
    </row>
    <row r="276" spans="2:11" x14ac:dyDescent="0.25">
      <c r="B276" s="80"/>
      <c r="C276" s="87" t="s">
        <v>18</v>
      </c>
      <c r="D276" s="91"/>
      <c r="E276" s="91"/>
      <c r="F276" s="87" t="s">
        <v>27</v>
      </c>
      <c r="G276" s="242"/>
      <c r="H276" s="100">
        <v>11</v>
      </c>
      <c r="I276" s="88"/>
      <c r="J276" s="91">
        <v>1</v>
      </c>
      <c r="K276" s="99">
        <f t="shared" si="20"/>
        <v>10</v>
      </c>
    </row>
    <row r="277" spans="2:11" x14ac:dyDescent="0.25">
      <c r="B277" s="80"/>
      <c r="C277" s="87" t="s">
        <v>20</v>
      </c>
      <c r="D277" s="91"/>
      <c r="E277" s="91"/>
      <c r="F277" s="87" t="s">
        <v>27</v>
      </c>
      <c r="G277" s="242"/>
      <c r="H277" s="100">
        <v>11</v>
      </c>
      <c r="I277" s="88"/>
      <c r="J277" s="91">
        <v>1</v>
      </c>
      <c r="K277" s="99">
        <f t="shared" si="20"/>
        <v>10</v>
      </c>
    </row>
    <row r="278" spans="2:11" x14ac:dyDescent="0.25">
      <c r="B278" s="80"/>
      <c r="C278" s="87" t="s">
        <v>22</v>
      </c>
      <c r="D278" s="91"/>
      <c r="E278" s="91"/>
      <c r="F278" s="87" t="s">
        <v>27</v>
      </c>
      <c r="G278" s="242"/>
      <c r="H278" s="88">
        <v>11</v>
      </c>
      <c r="I278" s="88"/>
      <c r="J278" s="91">
        <v>1</v>
      </c>
      <c r="K278" s="99">
        <f t="shared" si="20"/>
        <v>10</v>
      </c>
    </row>
    <row r="279" spans="2:11" x14ac:dyDescent="0.25">
      <c r="B279" s="80"/>
      <c r="C279" s="87" t="s">
        <v>21</v>
      </c>
      <c r="D279" s="91"/>
      <c r="E279" s="91"/>
      <c r="F279" s="87" t="s">
        <v>27</v>
      </c>
      <c r="G279" s="242"/>
      <c r="H279" s="88">
        <v>11</v>
      </c>
      <c r="I279" s="88"/>
      <c r="J279" s="91">
        <v>1</v>
      </c>
      <c r="K279" s="99">
        <f t="shared" si="20"/>
        <v>10</v>
      </c>
    </row>
    <row r="280" spans="2:11" x14ac:dyDescent="0.25">
      <c r="B280" s="80"/>
      <c r="C280" s="87" t="s">
        <v>79</v>
      </c>
      <c r="D280" s="91"/>
      <c r="E280" s="91"/>
      <c r="F280" s="87" t="s">
        <v>27</v>
      </c>
      <c r="G280" s="242"/>
      <c r="H280" s="88">
        <v>12</v>
      </c>
      <c r="I280" s="88"/>
      <c r="J280" s="91">
        <v>1</v>
      </c>
      <c r="K280" s="99">
        <f t="shared" si="20"/>
        <v>11</v>
      </c>
    </row>
    <row r="281" spans="2:11" x14ac:dyDescent="0.25">
      <c r="B281" s="80"/>
      <c r="C281" s="87" t="s">
        <v>80</v>
      </c>
      <c r="D281" s="91"/>
      <c r="E281" s="91"/>
      <c r="F281" s="87" t="s">
        <v>27</v>
      </c>
      <c r="G281" s="242"/>
      <c r="H281" s="88">
        <v>11</v>
      </c>
      <c r="I281" s="88"/>
      <c r="J281" s="91">
        <v>1</v>
      </c>
      <c r="K281" s="99">
        <f t="shared" si="20"/>
        <v>10</v>
      </c>
    </row>
    <row r="282" spans="2:11" x14ac:dyDescent="0.25">
      <c r="B282" s="80">
        <v>1</v>
      </c>
      <c r="C282" s="113" t="s">
        <v>81</v>
      </c>
      <c r="D282" s="91" t="s">
        <v>14</v>
      </c>
      <c r="E282" s="91" t="s">
        <v>17</v>
      </c>
      <c r="F282" s="91" t="s">
        <v>15</v>
      </c>
      <c r="G282" s="242" t="s">
        <v>16</v>
      </c>
      <c r="H282" s="91">
        <v>33</v>
      </c>
      <c r="I282" s="230">
        <v>11</v>
      </c>
      <c r="J282" s="231"/>
      <c r="K282" s="99">
        <f t="shared" si="20"/>
        <v>33</v>
      </c>
    </row>
    <row r="283" spans="2:11" x14ac:dyDescent="0.25">
      <c r="B283" s="80"/>
      <c r="C283" s="87" t="s">
        <v>82</v>
      </c>
      <c r="D283" s="91"/>
      <c r="E283" s="91"/>
      <c r="F283" s="87" t="s">
        <v>27</v>
      </c>
      <c r="G283" s="243"/>
      <c r="H283" s="88">
        <v>33</v>
      </c>
      <c r="I283" s="88">
        <v>1</v>
      </c>
      <c r="J283" s="91">
        <v>5</v>
      </c>
      <c r="K283" s="99">
        <f>H283-J283-I283</f>
        <v>27</v>
      </c>
    </row>
    <row r="284" spans="2:11" x14ac:dyDescent="0.25">
      <c r="B284" s="80"/>
      <c r="C284" s="87" t="s">
        <v>83</v>
      </c>
      <c r="D284" s="91"/>
      <c r="E284" s="91"/>
      <c r="F284" s="87" t="s">
        <v>84</v>
      </c>
      <c r="G284" s="243"/>
      <c r="H284" s="88">
        <v>33</v>
      </c>
      <c r="I284" s="88">
        <v>1</v>
      </c>
      <c r="J284" s="91">
        <v>5</v>
      </c>
      <c r="K284" s="99">
        <f t="shared" ref="K284:K288" si="23">H284-J284-I284</f>
        <v>27</v>
      </c>
    </row>
    <row r="285" spans="2:11" x14ac:dyDescent="0.25">
      <c r="B285" s="80"/>
      <c r="C285" s="87" t="s">
        <v>85</v>
      </c>
      <c r="D285" s="91"/>
      <c r="E285" s="91"/>
      <c r="F285" s="87" t="s">
        <v>84</v>
      </c>
      <c r="G285" s="243"/>
      <c r="H285" s="88">
        <v>33</v>
      </c>
      <c r="I285" s="88">
        <v>1</v>
      </c>
      <c r="J285" s="91">
        <v>5</v>
      </c>
      <c r="K285" s="99">
        <f t="shared" si="23"/>
        <v>27</v>
      </c>
    </row>
    <row r="286" spans="2:11" x14ac:dyDescent="0.25">
      <c r="B286" s="80"/>
      <c r="C286" s="87" t="s">
        <v>86</v>
      </c>
      <c r="D286" s="91"/>
      <c r="E286" s="91"/>
      <c r="F286" s="87" t="s">
        <v>27</v>
      </c>
      <c r="G286" s="243"/>
      <c r="H286" s="88">
        <v>33</v>
      </c>
      <c r="I286" s="88">
        <v>1</v>
      </c>
      <c r="J286" s="91">
        <v>5</v>
      </c>
      <c r="K286" s="99">
        <f t="shared" si="23"/>
        <v>27</v>
      </c>
    </row>
    <row r="287" spans="2:11" x14ac:dyDescent="0.25">
      <c r="B287" s="80"/>
      <c r="C287" s="87" t="s">
        <v>87</v>
      </c>
      <c r="D287" s="91"/>
      <c r="E287" s="91"/>
      <c r="F287" s="87" t="s">
        <v>27</v>
      </c>
      <c r="G287" s="243"/>
      <c r="H287" s="88">
        <v>33</v>
      </c>
      <c r="I287" s="88">
        <v>1</v>
      </c>
      <c r="J287" s="91">
        <v>5</v>
      </c>
      <c r="K287" s="99">
        <f t="shared" si="23"/>
        <v>27</v>
      </c>
    </row>
    <row r="288" spans="2:11" x14ac:dyDescent="0.25">
      <c r="B288" s="80"/>
      <c r="C288" s="87" t="s">
        <v>88</v>
      </c>
      <c r="D288" s="91"/>
      <c r="E288" s="91"/>
      <c r="F288" s="87" t="s">
        <v>27</v>
      </c>
      <c r="G288" s="243"/>
      <c r="H288" s="88">
        <v>33</v>
      </c>
      <c r="I288" s="88">
        <v>1</v>
      </c>
      <c r="J288" s="91">
        <v>5</v>
      </c>
      <c r="K288" s="99">
        <f t="shared" si="23"/>
        <v>27</v>
      </c>
    </row>
    <row r="289" spans="2:11" x14ac:dyDescent="0.25">
      <c r="B289" s="87"/>
      <c r="C289" s="87"/>
      <c r="D289" s="87"/>
      <c r="E289" s="87"/>
      <c r="F289" s="122" t="s">
        <v>89</v>
      </c>
      <c r="G289" s="122"/>
      <c r="H289" s="122"/>
      <c r="I289" s="122"/>
      <c r="J289" s="122"/>
      <c r="K289" s="123"/>
    </row>
  </sheetData>
  <autoFilter ref="B4:K289" xr:uid="{8A644C80-0EC8-4DFB-AE4D-3C19D269B62B}"/>
  <mergeCells count="129">
    <mergeCell ref="G19:G25"/>
    <mergeCell ref="I131:J131"/>
    <mergeCell ref="I68:J68"/>
    <mergeCell ref="G96:G102"/>
    <mergeCell ref="G152:G158"/>
    <mergeCell ref="G159:G165"/>
    <mergeCell ref="G166:G172"/>
    <mergeCell ref="G173:G179"/>
    <mergeCell ref="G194:G200"/>
    <mergeCell ref="G146:G151"/>
    <mergeCell ref="G103:G109"/>
    <mergeCell ref="G110:G116"/>
    <mergeCell ref="G117:G123"/>
    <mergeCell ref="G124:G130"/>
    <mergeCell ref="G131:G137"/>
    <mergeCell ref="G138:G144"/>
    <mergeCell ref="G188:G193"/>
    <mergeCell ref="G181:G186"/>
    <mergeCell ref="B96:B102"/>
    <mergeCell ref="D96:D102"/>
    <mergeCell ref="E96:E102"/>
    <mergeCell ref="D89:D95"/>
    <mergeCell ref="E89:E95"/>
    <mergeCell ref="D110:D116"/>
    <mergeCell ref="E110:E116"/>
    <mergeCell ref="B110:B116"/>
    <mergeCell ref="D117:D123"/>
    <mergeCell ref="E117:E123"/>
    <mergeCell ref="D124:D130"/>
    <mergeCell ref="D131:D137"/>
    <mergeCell ref="E131:E137"/>
    <mergeCell ref="E124:E130"/>
    <mergeCell ref="B131:B137"/>
    <mergeCell ref="B124:B130"/>
    <mergeCell ref="B117:B123"/>
    <mergeCell ref="D166:D172"/>
    <mergeCell ref="E166:E172"/>
    <mergeCell ref="B159:B165"/>
    <mergeCell ref="B166:B172"/>
    <mergeCell ref="B152:B158"/>
    <mergeCell ref="D159:D165"/>
    <mergeCell ref="B82:B88"/>
    <mergeCell ref="B89:B95"/>
    <mergeCell ref="D82:D88"/>
    <mergeCell ref="E82:E88"/>
    <mergeCell ref="G68:G74"/>
    <mergeCell ref="G75:G81"/>
    <mergeCell ref="D68:D74"/>
    <mergeCell ref="E68:E74"/>
    <mergeCell ref="D75:D81"/>
    <mergeCell ref="E75:E81"/>
    <mergeCell ref="B68:B74"/>
    <mergeCell ref="B75:B81"/>
    <mergeCell ref="G90:G95"/>
    <mergeCell ref="G83:G88"/>
    <mergeCell ref="D33:D39"/>
    <mergeCell ref="E33:E39"/>
    <mergeCell ref="G33:G39"/>
    <mergeCell ref="D61:D67"/>
    <mergeCell ref="E61:E67"/>
    <mergeCell ref="B61:B67"/>
    <mergeCell ref="G61:G67"/>
    <mergeCell ref="G54:G60"/>
    <mergeCell ref="G40:G46"/>
    <mergeCell ref="G47:G53"/>
    <mergeCell ref="B54:B60"/>
    <mergeCell ref="B47:B53"/>
    <mergeCell ref="B40:B46"/>
    <mergeCell ref="D54:D60"/>
    <mergeCell ref="E54:E60"/>
    <mergeCell ref="B3:K3"/>
    <mergeCell ref="B103:B109"/>
    <mergeCell ref="D103:D109"/>
    <mergeCell ref="E103:E109"/>
    <mergeCell ref="G5:G11"/>
    <mergeCell ref="B5:B11"/>
    <mergeCell ref="B12:B18"/>
    <mergeCell ref="B19:B25"/>
    <mergeCell ref="G12:G18"/>
    <mergeCell ref="B26:B32"/>
    <mergeCell ref="D5:D11"/>
    <mergeCell ref="E5:E11"/>
    <mergeCell ref="E12:E18"/>
    <mergeCell ref="D12:D18"/>
    <mergeCell ref="D19:D25"/>
    <mergeCell ref="E19:E25"/>
    <mergeCell ref="B33:B39"/>
    <mergeCell ref="D47:D53"/>
    <mergeCell ref="E47:E53"/>
    <mergeCell ref="D40:D46"/>
    <mergeCell ref="E40:E46"/>
    <mergeCell ref="D26:D32"/>
    <mergeCell ref="E26:E32"/>
    <mergeCell ref="G26:G32"/>
    <mergeCell ref="B173:B179"/>
    <mergeCell ref="B145:B151"/>
    <mergeCell ref="B138:B144"/>
    <mergeCell ref="E159:E165"/>
    <mergeCell ref="D152:D158"/>
    <mergeCell ref="E152:E158"/>
    <mergeCell ref="D138:D144"/>
    <mergeCell ref="E138:E144"/>
    <mergeCell ref="D145:D151"/>
    <mergeCell ref="E145:E151"/>
    <mergeCell ref="D173:D179"/>
    <mergeCell ref="E173:E179"/>
    <mergeCell ref="I282:J282"/>
    <mergeCell ref="E231:E237"/>
    <mergeCell ref="F231:F237"/>
    <mergeCell ref="I201:J201"/>
    <mergeCell ref="E215:E221"/>
    <mergeCell ref="E222:E228"/>
    <mergeCell ref="I215:J215"/>
    <mergeCell ref="G282:G288"/>
    <mergeCell ref="G208:G214"/>
    <mergeCell ref="G215:G221"/>
    <mergeCell ref="G222:G228"/>
    <mergeCell ref="G231:G237"/>
    <mergeCell ref="G238:G244"/>
    <mergeCell ref="G245:G251"/>
    <mergeCell ref="G252:G258"/>
    <mergeCell ref="G268:G274"/>
    <mergeCell ref="G275:G281"/>
    <mergeCell ref="G260:G265"/>
    <mergeCell ref="G229:G230"/>
    <mergeCell ref="E208:E214"/>
    <mergeCell ref="G201:G207"/>
    <mergeCell ref="E180:E186"/>
    <mergeCell ref="E187:E193"/>
  </mergeCells>
  <pageMargins left="0.7" right="0.7" top="0.75" bottom="0.75" header="0.3" footer="0.3"/>
  <pageSetup paperSize="9" fitToHeight="0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F93512A-31FA-4D5D-9BC7-7DCCC150D4F2}">
  <sheetPr>
    <tabColor rgb="FF0070C0"/>
  </sheetPr>
  <dimension ref="A3:O511"/>
  <sheetViews>
    <sheetView topLeftCell="A7" zoomScaleNormal="100" workbookViewId="0">
      <selection activeCell="K4" sqref="K4"/>
    </sheetView>
  </sheetViews>
  <sheetFormatPr baseColWidth="10" defaultColWidth="11.42578125" defaultRowHeight="15" x14ac:dyDescent="0.25"/>
  <cols>
    <col min="2" max="2" width="5.5703125" customWidth="1"/>
    <col min="3" max="3" width="36.28515625" customWidth="1"/>
    <col min="4" max="4" width="10.28515625" customWidth="1"/>
    <col min="5" max="5" width="9.85546875" customWidth="1"/>
    <col min="6" max="6" width="8.7109375" customWidth="1"/>
    <col min="8" max="9" width="16" customWidth="1"/>
    <col min="10" max="10" width="15.5703125" customWidth="1"/>
    <col min="11" max="11" width="16" customWidth="1"/>
  </cols>
  <sheetData>
    <row r="3" spans="2:15" ht="18.75" x14ac:dyDescent="0.25">
      <c r="B3" s="301" t="s">
        <v>0</v>
      </c>
      <c r="C3" s="302"/>
      <c r="D3" s="302"/>
      <c r="E3" s="302"/>
      <c r="F3" s="302"/>
      <c r="G3" s="302"/>
      <c r="H3" s="302"/>
      <c r="I3" s="302"/>
      <c r="J3" s="302"/>
      <c r="K3" s="302"/>
    </row>
    <row r="4" spans="2:15" ht="45" x14ac:dyDescent="0.25">
      <c r="B4" s="207" t="s">
        <v>2</v>
      </c>
      <c r="C4" s="207" t="s">
        <v>3</v>
      </c>
      <c r="D4" s="207" t="s">
        <v>4</v>
      </c>
      <c r="E4" s="207" t="s">
        <v>5</v>
      </c>
      <c r="F4" s="207" t="s">
        <v>7</v>
      </c>
      <c r="G4" s="207" t="s">
        <v>6</v>
      </c>
      <c r="H4" s="207" t="s">
        <v>90</v>
      </c>
      <c r="I4" s="207" t="s">
        <v>91</v>
      </c>
      <c r="J4" s="207" t="s">
        <v>92</v>
      </c>
      <c r="K4" s="38" t="s">
        <v>93</v>
      </c>
    </row>
    <row r="5" spans="2:15" x14ac:dyDescent="0.25">
      <c r="B5" s="292">
        <v>2</v>
      </c>
      <c r="C5" s="124" t="s">
        <v>13</v>
      </c>
      <c r="D5" s="281" t="s">
        <v>14</v>
      </c>
      <c r="E5" s="281" t="s">
        <v>1</v>
      </c>
      <c r="F5" s="281" t="s">
        <v>16</v>
      </c>
      <c r="G5" s="125" t="s">
        <v>15</v>
      </c>
      <c r="H5" s="126">
        <v>26</v>
      </c>
      <c r="I5" s="126"/>
      <c r="J5" s="127">
        <v>1</v>
      </c>
      <c r="K5" s="128">
        <v>25</v>
      </c>
    </row>
    <row r="6" spans="2:15" x14ac:dyDescent="0.25">
      <c r="B6" s="293"/>
      <c r="C6" s="129" t="s">
        <v>94</v>
      </c>
      <c r="D6" s="282"/>
      <c r="E6" s="282"/>
      <c r="F6" s="282"/>
      <c r="G6" s="130" t="s">
        <v>19</v>
      </c>
      <c r="H6" s="131">
        <v>24</v>
      </c>
      <c r="I6" s="131"/>
      <c r="J6" s="127">
        <v>1</v>
      </c>
      <c r="K6" s="128">
        <f>H6-J6</f>
        <v>23</v>
      </c>
    </row>
    <row r="7" spans="2:15" x14ac:dyDescent="0.25">
      <c r="B7" s="293"/>
      <c r="C7" s="129" t="s">
        <v>95</v>
      </c>
      <c r="D7" s="282"/>
      <c r="E7" s="282"/>
      <c r="F7" s="282"/>
      <c r="G7" s="130" t="s">
        <v>19</v>
      </c>
      <c r="H7" s="131">
        <v>26</v>
      </c>
      <c r="I7" s="131"/>
      <c r="J7" s="127">
        <v>1</v>
      </c>
      <c r="K7" s="128">
        <f t="shared" ref="K7:K11" si="0">H7-J7</f>
        <v>25</v>
      </c>
    </row>
    <row r="8" spans="2:15" x14ac:dyDescent="0.25">
      <c r="B8" s="293"/>
      <c r="C8" s="129" t="s">
        <v>96</v>
      </c>
      <c r="D8" s="282"/>
      <c r="E8" s="282"/>
      <c r="F8" s="282"/>
      <c r="G8" s="130" t="s">
        <v>19</v>
      </c>
      <c r="H8" s="131">
        <v>26</v>
      </c>
      <c r="I8" s="131"/>
      <c r="J8" s="127">
        <v>1</v>
      </c>
      <c r="K8" s="128">
        <f t="shared" si="0"/>
        <v>25</v>
      </c>
    </row>
    <row r="9" spans="2:15" x14ac:dyDescent="0.25">
      <c r="B9" s="293"/>
      <c r="C9" s="129" t="s">
        <v>97</v>
      </c>
      <c r="D9" s="282"/>
      <c r="E9" s="282"/>
      <c r="F9" s="282"/>
      <c r="G9" s="130" t="s">
        <v>19</v>
      </c>
      <c r="H9" s="131">
        <v>26</v>
      </c>
      <c r="I9" s="131"/>
      <c r="J9" s="127">
        <v>1</v>
      </c>
      <c r="K9" s="128">
        <f t="shared" si="0"/>
        <v>25</v>
      </c>
    </row>
    <row r="10" spans="2:15" x14ac:dyDescent="0.25">
      <c r="B10" s="293"/>
      <c r="C10" s="129" t="s">
        <v>98</v>
      </c>
      <c r="D10" s="282"/>
      <c r="E10" s="282"/>
      <c r="F10" s="282"/>
      <c r="G10" s="130" t="s">
        <v>19</v>
      </c>
      <c r="H10" s="131">
        <v>26</v>
      </c>
      <c r="I10" s="131"/>
      <c r="J10" s="127">
        <v>1</v>
      </c>
      <c r="K10" s="128">
        <f t="shared" si="0"/>
        <v>25</v>
      </c>
    </row>
    <row r="11" spans="2:15" x14ac:dyDescent="0.25">
      <c r="B11" s="294"/>
      <c r="C11" s="129" t="s">
        <v>99</v>
      </c>
      <c r="D11" s="283"/>
      <c r="E11" s="283"/>
      <c r="F11" s="283"/>
      <c r="G11" s="130" t="s">
        <v>19</v>
      </c>
      <c r="H11" s="131">
        <v>25</v>
      </c>
      <c r="I11" s="131"/>
      <c r="J11" s="127">
        <v>1</v>
      </c>
      <c r="K11" s="128">
        <f t="shared" si="0"/>
        <v>24</v>
      </c>
    </row>
    <row r="12" spans="2:15" x14ac:dyDescent="0.25">
      <c r="B12" s="289">
        <v>2</v>
      </c>
      <c r="C12" s="132" t="s">
        <v>13</v>
      </c>
      <c r="D12" s="295" t="s">
        <v>14</v>
      </c>
      <c r="E12" s="295" t="s">
        <v>17</v>
      </c>
      <c r="F12" s="295" t="s">
        <v>16</v>
      </c>
      <c r="G12" s="133" t="s">
        <v>15</v>
      </c>
      <c r="H12" s="134">
        <v>31</v>
      </c>
      <c r="I12" s="270">
        <v>2</v>
      </c>
      <c r="J12" s="271"/>
      <c r="K12" s="135">
        <v>29</v>
      </c>
      <c r="O12" s="229"/>
    </row>
    <row r="13" spans="2:15" x14ac:dyDescent="0.25">
      <c r="B13" s="290"/>
      <c r="C13" s="129" t="s">
        <v>94</v>
      </c>
      <c r="D13" s="296"/>
      <c r="E13" s="296"/>
      <c r="F13" s="296"/>
      <c r="G13" s="130" t="s">
        <v>27</v>
      </c>
      <c r="H13" s="131">
        <v>31</v>
      </c>
      <c r="I13" s="131">
        <v>1</v>
      </c>
      <c r="J13" s="136">
        <v>1</v>
      </c>
      <c r="K13" s="135">
        <f>H13-J13-I13</f>
        <v>29</v>
      </c>
      <c r="O13" s="229"/>
    </row>
    <row r="14" spans="2:15" x14ac:dyDescent="0.25">
      <c r="B14" s="290"/>
      <c r="C14" s="129" t="s">
        <v>95</v>
      </c>
      <c r="D14" s="296"/>
      <c r="E14" s="296"/>
      <c r="F14" s="296"/>
      <c r="G14" s="130" t="s">
        <v>27</v>
      </c>
      <c r="H14" s="131">
        <v>31</v>
      </c>
      <c r="I14" s="131">
        <v>1</v>
      </c>
      <c r="J14" s="136">
        <v>1</v>
      </c>
      <c r="K14" s="135">
        <f t="shared" ref="K14:K17" si="1">H14-J14-I14</f>
        <v>29</v>
      </c>
      <c r="O14" s="229"/>
    </row>
    <row r="15" spans="2:15" x14ac:dyDescent="0.25">
      <c r="B15" s="290"/>
      <c r="C15" s="129" t="s">
        <v>96</v>
      </c>
      <c r="D15" s="296"/>
      <c r="E15" s="296"/>
      <c r="F15" s="296"/>
      <c r="G15" s="130" t="s">
        <v>27</v>
      </c>
      <c r="H15" s="131">
        <v>36</v>
      </c>
      <c r="I15" s="131">
        <v>1</v>
      </c>
      <c r="J15" s="136">
        <v>1</v>
      </c>
      <c r="K15" s="135">
        <f>H15-J15-I15</f>
        <v>34</v>
      </c>
      <c r="O15" s="229"/>
    </row>
    <row r="16" spans="2:15" x14ac:dyDescent="0.25">
      <c r="B16" s="290"/>
      <c r="C16" s="129" t="s">
        <v>97</v>
      </c>
      <c r="D16" s="296"/>
      <c r="E16" s="296"/>
      <c r="F16" s="296"/>
      <c r="G16" s="130" t="s">
        <v>27</v>
      </c>
      <c r="H16" s="131">
        <v>29</v>
      </c>
      <c r="I16" s="131">
        <v>1</v>
      </c>
      <c r="J16" s="136">
        <v>1</v>
      </c>
      <c r="K16" s="135">
        <f t="shared" si="1"/>
        <v>27</v>
      </c>
      <c r="O16" s="229"/>
    </row>
    <row r="17" spans="2:15" x14ac:dyDescent="0.25">
      <c r="B17" s="290"/>
      <c r="C17" s="129" t="s">
        <v>98</v>
      </c>
      <c r="D17" s="296"/>
      <c r="E17" s="296"/>
      <c r="F17" s="296"/>
      <c r="G17" s="130" t="s">
        <v>27</v>
      </c>
      <c r="H17" s="131">
        <v>37</v>
      </c>
      <c r="I17" s="131">
        <v>1</v>
      </c>
      <c r="J17" s="136">
        <v>1</v>
      </c>
      <c r="K17" s="135">
        <f t="shared" si="1"/>
        <v>35</v>
      </c>
      <c r="O17" s="229"/>
    </row>
    <row r="18" spans="2:15" x14ac:dyDescent="0.25">
      <c r="B18" s="291"/>
      <c r="C18" s="129" t="s">
        <v>99</v>
      </c>
      <c r="D18" s="297"/>
      <c r="E18" s="297"/>
      <c r="F18" s="297"/>
      <c r="G18" s="130" t="s">
        <v>27</v>
      </c>
      <c r="H18" s="131">
        <v>26</v>
      </c>
      <c r="I18" s="131">
        <v>1</v>
      </c>
      <c r="J18" s="136">
        <v>1</v>
      </c>
      <c r="K18" s="135">
        <f>H18-J18-I18</f>
        <v>24</v>
      </c>
      <c r="O18" s="229"/>
    </row>
    <row r="19" spans="2:15" x14ac:dyDescent="0.25">
      <c r="B19" s="289">
        <v>2</v>
      </c>
      <c r="C19" s="137" t="s">
        <v>13</v>
      </c>
      <c r="D19" s="295" t="s">
        <v>14</v>
      </c>
      <c r="E19" s="295" t="s">
        <v>17</v>
      </c>
      <c r="F19" s="295" t="s">
        <v>25</v>
      </c>
      <c r="G19" s="133" t="s">
        <v>43</v>
      </c>
      <c r="H19" s="138">
        <v>15</v>
      </c>
      <c r="I19" s="138"/>
      <c r="J19" s="136">
        <v>1</v>
      </c>
      <c r="K19" s="135">
        <v>14</v>
      </c>
      <c r="O19" s="229"/>
    </row>
    <row r="20" spans="2:15" x14ac:dyDescent="0.25">
      <c r="B20" s="290"/>
      <c r="C20" s="129" t="s">
        <v>94</v>
      </c>
      <c r="D20" s="296"/>
      <c r="E20" s="296"/>
      <c r="F20" s="296"/>
      <c r="G20" s="130" t="s">
        <v>46</v>
      </c>
      <c r="H20" s="131">
        <v>15</v>
      </c>
      <c r="I20" s="131"/>
      <c r="J20" s="136">
        <v>1</v>
      </c>
      <c r="K20" s="135">
        <f t="shared" ref="K20:K32" si="2">H20-J20</f>
        <v>14</v>
      </c>
      <c r="O20" s="229"/>
    </row>
    <row r="21" spans="2:15" x14ac:dyDescent="0.25">
      <c r="B21" s="290"/>
      <c r="C21" s="129" t="s">
        <v>95</v>
      </c>
      <c r="D21" s="296"/>
      <c r="E21" s="296"/>
      <c r="F21" s="296"/>
      <c r="G21" s="130" t="s">
        <v>46</v>
      </c>
      <c r="H21" s="131">
        <v>13</v>
      </c>
      <c r="I21" s="131"/>
      <c r="J21" s="136">
        <v>1</v>
      </c>
      <c r="K21" s="135">
        <f t="shared" si="2"/>
        <v>12</v>
      </c>
      <c r="O21" s="229"/>
    </row>
    <row r="22" spans="2:15" x14ac:dyDescent="0.25">
      <c r="B22" s="290"/>
      <c r="C22" s="129" t="s">
        <v>96</v>
      </c>
      <c r="D22" s="296"/>
      <c r="E22" s="296"/>
      <c r="F22" s="296"/>
      <c r="G22" s="130" t="s">
        <v>46</v>
      </c>
      <c r="H22" s="131">
        <v>15</v>
      </c>
      <c r="I22" s="131"/>
      <c r="J22" s="136">
        <v>1</v>
      </c>
      <c r="K22" s="135">
        <f t="shared" si="2"/>
        <v>14</v>
      </c>
      <c r="O22" s="229"/>
    </row>
    <row r="23" spans="2:15" x14ac:dyDescent="0.25">
      <c r="B23" s="290"/>
      <c r="C23" s="129" t="s">
        <v>97</v>
      </c>
      <c r="D23" s="296"/>
      <c r="E23" s="296"/>
      <c r="F23" s="296"/>
      <c r="G23" s="130" t="s">
        <v>46</v>
      </c>
      <c r="H23" s="131">
        <v>16</v>
      </c>
      <c r="I23" s="131"/>
      <c r="J23" s="136">
        <v>1</v>
      </c>
      <c r="K23" s="135">
        <f t="shared" si="2"/>
        <v>15</v>
      </c>
      <c r="O23" s="229"/>
    </row>
    <row r="24" spans="2:15" x14ac:dyDescent="0.25">
      <c r="B24" s="290"/>
      <c r="C24" s="129" t="s">
        <v>98</v>
      </c>
      <c r="D24" s="296"/>
      <c r="E24" s="296"/>
      <c r="F24" s="296"/>
      <c r="G24" s="130" t="s">
        <v>46</v>
      </c>
      <c r="H24" s="131">
        <v>14</v>
      </c>
      <c r="I24" s="131"/>
      <c r="J24" s="136">
        <v>1</v>
      </c>
      <c r="K24" s="135">
        <f t="shared" si="2"/>
        <v>13</v>
      </c>
      <c r="O24" s="229"/>
    </row>
    <row r="25" spans="2:15" x14ac:dyDescent="0.25">
      <c r="B25" s="291"/>
      <c r="C25" s="129" t="s">
        <v>99</v>
      </c>
      <c r="D25" s="297"/>
      <c r="E25" s="297"/>
      <c r="F25" s="297"/>
      <c r="G25" s="130" t="s">
        <v>46</v>
      </c>
      <c r="H25" s="131">
        <v>15</v>
      </c>
      <c r="I25" s="131"/>
      <c r="J25" s="136">
        <v>1</v>
      </c>
      <c r="K25" s="135">
        <f t="shared" si="2"/>
        <v>14</v>
      </c>
      <c r="O25" s="229"/>
    </row>
    <row r="26" spans="2:15" x14ac:dyDescent="0.25">
      <c r="B26" s="289">
        <v>2</v>
      </c>
      <c r="C26" s="137" t="s">
        <v>28</v>
      </c>
      <c r="D26" s="295" t="s">
        <v>29</v>
      </c>
      <c r="E26" s="295" t="s">
        <v>17</v>
      </c>
      <c r="F26" s="295" t="s">
        <v>25</v>
      </c>
      <c r="G26" s="133" t="s">
        <v>48</v>
      </c>
      <c r="H26" s="138">
        <v>11</v>
      </c>
      <c r="I26" s="138"/>
      <c r="J26" s="136">
        <v>1</v>
      </c>
      <c r="K26" s="135">
        <v>10</v>
      </c>
      <c r="O26" s="229"/>
    </row>
    <row r="27" spans="2:15" x14ac:dyDescent="0.25">
      <c r="B27" s="290"/>
      <c r="C27" s="129" t="s">
        <v>94</v>
      </c>
      <c r="D27" s="296"/>
      <c r="E27" s="296"/>
      <c r="F27" s="296"/>
      <c r="G27" s="130" t="s">
        <v>100</v>
      </c>
      <c r="H27" s="131">
        <v>11</v>
      </c>
      <c r="I27" s="131"/>
      <c r="J27" s="136">
        <v>1</v>
      </c>
      <c r="K27" s="135">
        <f t="shared" si="2"/>
        <v>10</v>
      </c>
      <c r="O27" s="229"/>
    </row>
    <row r="28" spans="2:15" x14ac:dyDescent="0.25">
      <c r="B28" s="290"/>
      <c r="C28" s="129" t="s">
        <v>95</v>
      </c>
      <c r="D28" s="296"/>
      <c r="E28" s="296"/>
      <c r="F28" s="296"/>
      <c r="G28" s="130" t="s">
        <v>100</v>
      </c>
      <c r="H28" s="131">
        <v>11</v>
      </c>
      <c r="I28" s="131"/>
      <c r="J28" s="136">
        <v>1</v>
      </c>
      <c r="K28" s="135">
        <f t="shared" si="2"/>
        <v>10</v>
      </c>
      <c r="O28" s="229"/>
    </row>
    <row r="29" spans="2:15" x14ac:dyDescent="0.25">
      <c r="B29" s="290"/>
      <c r="C29" s="129" t="s">
        <v>96</v>
      </c>
      <c r="D29" s="296"/>
      <c r="E29" s="296"/>
      <c r="F29" s="296"/>
      <c r="G29" s="130" t="s">
        <v>100</v>
      </c>
      <c r="H29" s="131">
        <v>11</v>
      </c>
      <c r="I29" s="131"/>
      <c r="J29" s="136">
        <v>1</v>
      </c>
      <c r="K29" s="135">
        <f t="shared" si="2"/>
        <v>10</v>
      </c>
      <c r="O29" s="229"/>
    </row>
    <row r="30" spans="2:15" x14ac:dyDescent="0.25">
      <c r="B30" s="290"/>
      <c r="C30" s="129" t="s">
        <v>97</v>
      </c>
      <c r="D30" s="296"/>
      <c r="E30" s="296"/>
      <c r="F30" s="296"/>
      <c r="G30" s="130" t="s">
        <v>100</v>
      </c>
      <c r="H30" s="131">
        <v>11</v>
      </c>
      <c r="I30" s="131"/>
      <c r="J30" s="136">
        <v>1</v>
      </c>
      <c r="K30" s="135">
        <f t="shared" si="2"/>
        <v>10</v>
      </c>
      <c r="O30" s="229"/>
    </row>
    <row r="31" spans="2:15" x14ac:dyDescent="0.25">
      <c r="B31" s="290"/>
      <c r="C31" s="129" t="s">
        <v>98</v>
      </c>
      <c r="D31" s="296"/>
      <c r="E31" s="296"/>
      <c r="F31" s="296"/>
      <c r="G31" s="130" t="s">
        <v>100</v>
      </c>
      <c r="H31" s="131">
        <v>11</v>
      </c>
      <c r="I31" s="131"/>
      <c r="J31" s="136">
        <v>1</v>
      </c>
      <c r="K31" s="135">
        <f t="shared" si="2"/>
        <v>10</v>
      </c>
      <c r="O31" s="229"/>
    </row>
    <row r="32" spans="2:15" x14ac:dyDescent="0.25">
      <c r="B32" s="291"/>
      <c r="C32" s="129" t="s">
        <v>99</v>
      </c>
      <c r="D32" s="297"/>
      <c r="E32" s="297"/>
      <c r="F32" s="297"/>
      <c r="G32" s="130" t="s">
        <v>100</v>
      </c>
      <c r="H32" s="131">
        <v>11</v>
      </c>
      <c r="I32" s="131"/>
      <c r="J32" s="136">
        <v>1</v>
      </c>
      <c r="K32" s="135">
        <f t="shared" si="2"/>
        <v>10</v>
      </c>
      <c r="O32" s="229"/>
    </row>
    <row r="33" spans="2:11" x14ac:dyDescent="0.25">
      <c r="B33" s="275">
        <v>2</v>
      </c>
      <c r="C33" s="139" t="s">
        <v>32</v>
      </c>
      <c r="D33" s="298" t="s">
        <v>14</v>
      </c>
      <c r="E33" s="298" t="s">
        <v>17</v>
      </c>
      <c r="F33" s="303" t="s">
        <v>16</v>
      </c>
      <c r="G33" s="140" t="s">
        <v>15</v>
      </c>
      <c r="H33" s="141">
        <v>36</v>
      </c>
      <c r="I33" s="141"/>
      <c r="J33" s="142">
        <v>2</v>
      </c>
      <c r="K33" s="143">
        <v>34</v>
      </c>
    </row>
    <row r="34" spans="2:11" x14ac:dyDescent="0.25">
      <c r="B34" s="276"/>
      <c r="C34" s="144" t="s">
        <v>95</v>
      </c>
      <c r="D34" s="299"/>
      <c r="E34" s="299"/>
      <c r="F34" s="304"/>
      <c r="G34" s="145" t="s">
        <v>27</v>
      </c>
      <c r="H34" s="131">
        <v>36</v>
      </c>
      <c r="I34" s="131"/>
      <c r="J34" s="142">
        <v>2</v>
      </c>
      <c r="K34" s="143">
        <f>H34-J34</f>
        <v>34</v>
      </c>
    </row>
    <row r="35" spans="2:11" x14ac:dyDescent="0.25">
      <c r="B35" s="276"/>
      <c r="C35" s="144" t="s">
        <v>101</v>
      </c>
      <c r="D35" s="299"/>
      <c r="E35" s="299"/>
      <c r="F35" s="304"/>
      <c r="G35" s="145" t="s">
        <v>27</v>
      </c>
      <c r="H35" s="131">
        <v>35</v>
      </c>
      <c r="I35" s="131"/>
      <c r="J35" s="142">
        <v>2</v>
      </c>
      <c r="K35" s="143">
        <f t="shared" ref="K35:K39" si="3">H35-J35</f>
        <v>33</v>
      </c>
    </row>
    <row r="36" spans="2:11" x14ac:dyDescent="0.25">
      <c r="B36" s="276"/>
      <c r="C36" s="144" t="s">
        <v>102</v>
      </c>
      <c r="D36" s="299"/>
      <c r="E36" s="299"/>
      <c r="F36" s="304"/>
      <c r="G36" s="145" t="s">
        <v>27</v>
      </c>
      <c r="H36" s="131">
        <v>36</v>
      </c>
      <c r="I36" s="131"/>
      <c r="J36" s="142">
        <v>2</v>
      </c>
      <c r="K36" s="143">
        <f t="shared" si="3"/>
        <v>34</v>
      </c>
    </row>
    <row r="37" spans="2:11" x14ac:dyDescent="0.25">
      <c r="B37" s="276"/>
      <c r="C37" s="144" t="s">
        <v>103</v>
      </c>
      <c r="D37" s="299"/>
      <c r="E37" s="299"/>
      <c r="F37" s="304"/>
      <c r="G37" s="145" t="s">
        <v>27</v>
      </c>
      <c r="H37" s="131">
        <v>32</v>
      </c>
      <c r="I37" s="131"/>
      <c r="J37" s="142">
        <v>2</v>
      </c>
      <c r="K37" s="143">
        <f t="shared" si="3"/>
        <v>30</v>
      </c>
    </row>
    <row r="38" spans="2:11" x14ac:dyDescent="0.25">
      <c r="B38" s="276"/>
      <c r="C38" s="144" t="s">
        <v>104</v>
      </c>
      <c r="D38" s="299"/>
      <c r="E38" s="299"/>
      <c r="F38" s="304"/>
      <c r="G38" s="145" t="s">
        <v>27</v>
      </c>
      <c r="H38" s="131">
        <v>32</v>
      </c>
      <c r="I38" s="131"/>
      <c r="J38" s="142">
        <v>2</v>
      </c>
      <c r="K38" s="143">
        <f t="shared" si="3"/>
        <v>30</v>
      </c>
    </row>
    <row r="39" spans="2:11" x14ac:dyDescent="0.25">
      <c r="B39" s="277"/>
      <c r="C39" s="144" t="s">
        <v>105</v>
      </c>
      <c r="D39" s="300"/>
      <c r="E39" s="300"/>
      <c r="F39" s="305"/>
      <c r="G39" s="145" t="s">
        <v>27</v>
      </c>
      <c r="H39" s="131">
        <v>36</v>
      </c>
      <c r="I39" s="131"/>
      <c r="J39" s="142">
        <v>2</v>
      </c>
      <c r="K39" s="143">
        <f t="shared" si="3"/>
        <v>34</v>
      </c>
    </row>
    <row r="40" spans="2:11" x14ac:dyDescent="0.25">
      <c r="B40" s="275">
        <v>2</v>
      </c>
      <c r="C40" s="146" t="s">
        <v>36</v>
      </c>
      <c r="D40" s="306" t="s">
        <v>29</v>
      </c>
      <c r="E40" s="306" t="s">
        <v>12</v>
      </c>
      <c r="F40" s="306" t="s">
        <v>16</v>
      </c>
      <c r="G40" s="147" t="s">
        <v>106</v>
      </c>
      <c r="H40" s="148">
        <v>10</v>
      </c>
      <c r="I40" s="148"/>
      <c r="J40" s="149">
        <v>0</v>
      </c>
      <c r="K40" s="150">
        <v>10</v>
      </c>
    </row>
    <row r="41" spans="2:11" x14ac:dyDescent="0.25">
      <c r="B41" s="276"/>
      <c r="C41" s="151" t="s">
        <v>107</v>
      </c>
      <c r="D41" s="307"/>
      <c r="E41" s="307"/>
      <c r="F41" s="307"/>
      <c r="G41" s="130" t="s">
        <v>37</v>
      </c>
      <c r="H41" s="131">
        <v>9</v>
      </c>
      <c r="I41" s="131"/>
      <c r="J41" s="149">
        <v>0</v>
      </c>
      <c r="K41" s="150">
        <f>H41-J41</f>
        <v>9</v>
      </c>
    </row>
    <row r="42" spans="2:11" x14ac:dyDescent="0.25">
      <c r="B42" s="276"/>
      <c r="C42" s="151" t="s">
        <v>96</v>
      </c>
      <c r="D42" s="307"/>
      <c r="E42" s="307"/>
      <c r="F42" s="307"/>
      <c r="G42" s="130" t="s">
        <v>37</v>
      </c>
      <c r="H42" s="131">
        <v>10</v>
      </c>
      <c r="I42" s="131"/>
      <c r="J42" s="149">
        <v>0</v>
      </c>
      <c r="K42" s="150">
        <f t="shared" ref="K42:K46" si="4">H42-J42</f>
        <v>10</v>
      </c>
    </row>
    <row r="43" spans="2:11" x14ac:dyDescent="0.25">
      <c r="B43" s="276"/>
      <c r="C43" s="151" t="s">
        <v>97</v>
      </c>
      <c r="D43" s="307"/>
      <c r="E43" s="307"/>
      <c r="F43" s="307"/>
      <c r="G43" s="130" t="s">
        <v>37</v>
      </c>
      <c r="H43" s="131">
        <v>10</v>
      </c>
      <c r="I43" s="131"/>
      <c r="J43" s="149">
        <v>0</v>
      </c>
      <c r="K43" s="150">
        <f t="shared" si="4"/>
        <v>10</v>
      </c>
    </row>
    <row r="44" spans="2:11" x14ac:dyDescent="0.25">
      <c r="B44" s="276"/>
      <c r="C44" s="151" t="s">
        <v>95</v>
      </c>
      <c r="D44" s="307"/>
      <c r="E44" s="307"/>
      <c r="F44" s="307"/>
      <c r="G44" s="130" t="s">
        <v>37</v>
      </c>
      <c r="H44" s="131">
        <v>9</v>
      </c>
      <c r="I44" s="131"/>
      <c r="J44" s="149">
        <v>0</v>
      </c>
      <c r="K44" s="150">
        <f t="shared" si="4"/>
        <v>9</v>
      </c>
    </row>
    <row r="45" spans="2:11" x14ac:dyDescent="0.25">
      <c r="B45" s="276"/>
      <c r="C45" s="151" t="s">
        <v>98</v>
      </c>
      <c r="D45" s="307"/>
      <c r="E45" s="307"/>
      <c r="F45" s="307"/>
      <c r="G45" s="130" t="s">
        <v>37</v>
      </c>
      <c r="H45" s="131">
        <v>9</v>
      </c>
      <c r="I45" s="131"/>
      <c r="J45" s="149">
        <v>0</v>
      </c>
      <c r="K45" s="150">
        <f t="shared" si="4"/>
        <v>9</v>
      </c>
    </row>
    <row r="46" spans="2:11" x14ac:dyDescent="0.25">
      <c r="B46" s="277"/>
      <c r="C46" s="151" t="s">
        <v>108</v>
      </c>
      <c r="D46" s="308"/>
      <c r="E46" s="308"/>
      <c r="F46" s="308"/>
      <c r="G46" s="130" t="s">
        <v>37</v>
      </c>
      <c r="H46" s="131">
        <v>10</v>
      </c>
      <c r="I46" s="131"/>
      <c r="J46" s="149">
        <v>0</v>
      </c>
      <c r="K46" s="150">
        <f t="shared" si="4"/>
        <v>10</v>
      </c>
    </row>
    <row r="47" spans="2:11" x14ac:dyDescent="0.25">
      <c r="B47" s="275">
        <v>2</v>
      </c>
      <c r="C47" s="152" t="s">
        <v>39</v>
      </c>
      <c r="D47" s="284" t="s">
        <v>14</v>
      </c>
      <c r="E47" s="284" t="s">
        <v>12</v>
      </c>
      <c r="F47" s="284" t="s">
        <v>16</v>
      </c>
      <c r="G47" s="153" t="s">
        <v>15</v>
      </c>
      <c r="H47" s="154">
        <v>14</v>
      </c>
      <c r="I47" s="154"/>
      <c r="J47" s="155">
        <v>1</v>
      </c>
      <c r="K47" s="156">
        <v>13</v>
      </c>
    </row>
    <row r="48" spans="2:11" x14ac:dyDescent="0.25">
      <c r="B48" s="276"/>
      <c r="C48" s="151" t="s">
        <v>107</v>
      </c>
      <c r="D48" s="285"/>
      <c r="E48" s="285"/>
      <c r="F48" s="285"/>
      <c r="G48" s="130" t="s">
        <v>41</v>
      </c>
      <c r="H48" s="131">
        <v>13</v>
      </c>
      <c r="I48" s="131"/>
      <c r="J48" s="155">
        <v>1</v>
      </c>
      <c r="K48" s="156">
        <f>H48-J48</f>
        <v>12</v>
      </c>
    </row>
    <row r="49" spans="2:11" x14ac:dyDescent="0.25">
      <c r="B49" s="276"/>
      <c r="C49" s="151" t="s">
        <v>95</v>
      </c>
      <c r="D49" s="285"/>
      <c r="E49" s="285"/>
      <c r="F49" s="285"/>
      <c r="G49" s="130" t="s">
        <v>41</v>
      </c>
      <c r="H49" s="131">
        <v>18</v>
      </c>
      <c r="I49" s="131"/>
      <c r="J49" s="155">
        <v>1</v>
      </c>
      <c r="K49" s="156">
        <f t="shared" ref="K49:K53" si="5">H49-J49</f>
        <v>17</v>
      </c>
    </row>
    <row r="50" spans="2:11" x14ac:dyDescent="0.25">
      <c r="B50" s="276"/>
      <c r="C50" s="151" t="s">
        <v>101</v>
      </c>
      <c r="D50" s="285"/>
      <c r="E50" s="285"/>
      <c r="F50" s="285"/>
      <c r="G50" s="130" t="s">
        <v>41</v>
      </c>
      <c r="H50" s="131">
        <v>16</v>
      </c>
      <c r="I50" s="131"/>
      <c r="J50" s="155">
        <v>2</v>
      </c>
      <c r="K50" s="156">
        <f t="shared" si="5"/>
        <v>14</v>
      </c>
    </row>
    <row r="51" spans="2:11" x14ac:dyDescent="0.25">
      <c r="B51" s="276"/>
      <c r="C51" s="151" t="s">
        <v>102</v>
      </c>
      <c r="D51" s="285"/>
      <c r="E51" s="285"/>
      <c r="F51" s="285"/>
      <c r="G51" s="130" t="s">
        <v>41</v>
      </c>
      <c r="H51" s="131">
        <v>14</v>
      </c>
      <c r="I51" s="131"/>
      <c r="J51" s="155">
        <v>1</v>
      </c>
      <c r="K51" s="156">
        <f t="shared" si="5"/>
        <v>13</v>
      </c>
    </row>
    <row r="52" spans="2:11" x14ac:dyDescent="0.25">
      <c r="B52" s="276"/>
      <c r="C52" s="151" t="s">
        <v>109</v>
      </c>
      <c r="D52" s="285"/>
      <c r="E52" s="285"/>
      <c r="F52" s="285"/>
      <c r="G52" s="130" t="s">
        <v>41</v>
      </c>
      <c r="H52" s="131">
        <v>13</v>
      </c>
      <c r="I52" s="131"/>
      <c r="J52" s="155">
        <v>1</v>
      </c>
      <c r="K52" s="156">
        <f t="shared" si="5"/>
        <v>12</v>
      </c>
    </row>
    <row r="53" spans="2:11" x14ac:dyDescent="0.25">
      <c r="B53" s="277"/>
      <c r="C53" s="151" t="s">
        <v>97</v>
      </c>
      <c r="D53" s="286"/>
      <c r="E53" s="286"/>
      <c r="F53" s="286"/>
      <c r="G53" s="130" t="s">
        <v>41</v>
      </c>
      <c r="H53" s="131">
        <v>14</v>
      </c>
      <c r="I53" s="131"/>
      <c r="J53" s="155">
        <v>1</v>
      </c>
      <c r="K53" s="156">
        <f t="shared" si="5"/>
        <v>13</v>
      </c>
    </row>
    <row r="54" spans="2:11" x14ac:dyDescent="0.25">
      <c r="B54" s="275">
        <v>2</v>
      </c>
      <c r="C54" s="152" t="s">
        <v>39</v>
      </c>
      <c r="D54" s="284" t="s">
        <v>14</v>
      </c>
      <c r="E54" s="284" t="s">
        <v>12</v>
      </c>
      <c r="F54" s="284" t="s">
        <v>25</v>
      </c>
      <c r="G54" s="153" t="s">
        <v>43</v>
      </c>
      <c r="H54" s="154">
        <v>18</v>
      </c>
      <c r="I54" s="154"/>
      <c r="J54" s="155">
        <v>1</v>
      </c>
      <c r="K54" s="156">
        <v>17</v>
      </c>
    </row>
    <row r="55" spans="2:11" x14ac:dyDescent="0.25">
      <c r="B55" s="276"/>
      <c r="C55" s="151" t="s">
        <v>107</v>
      </c>
      <c r="D55" s="285"/>
      <c r="E55" s="285"/>
      <c r="F55" s="285"/>
      <c r="G55" s="130" t="s">
        <v>44</v>
      </c>
      <c r="H55" s="131">
        <v>16</v>
      </c>
      <c r="I55" s="131"/>
      <c r="J55" s="155">
        <v>1</v>
      </c>
      <c r="K55" s="156">
        <f>H55-J55</f>
        <v>15</v>
      </c>
    </row>
    <row r="56" spans="2:11" x14ac:dyDescent="0.25">
      <c r="B56" s="276"/>
      <c r="C56" s="151" t="s">
        <v>95</v>
      </c>
      <c r="D56" s="285"/>
      <c r="E56" s="285"/>
      <c r="F56" s="285"/>
      <c r="G56" s="130" t="s">
        <v>44</v>
      </c>
      <c r="H56" s="131">
        <v>13</v>
      </c>
      <c r="I56" s="131"/>
      <c r="J56" s="155">
        <v>1</v>
      </c>
      <c r="K56" s="156">
        <f t="shared" ref="K56:K60" si="6">H56-J56</f>
        <v>12</v>
      </c>
    </row>
    <row r="57" spans="2:11" x14ac:dyDescent="0.25">
      <c r="B57" s="276"/>
      <c r="C57" s="151" t="s">
        <v>101</v>
      </c>
      <c r="D57" s="285"/>
      <c r="E57" s="285"/>
      <c r="F57" s="285"/>
      <c r="G57" s="130" t="s">
        <v>44</v>
      </c>
      <c r="H57" s="131">
        <v>15</v>
      </c>
      <c r="I57" s="131"/>
      <c r="J57" s="155">
        <v>1</v>
      </c>
      <c r="K57" s="156">
        <f t="shared" si="6"/>
        <v>14</v>
      </c>
    </row>
    <row r="58" spans="2:11" x14ac:dyDescent="0.25">
      <c r="B58" s="276"/>
      <c r="C58" s="151" t="s">
        <v>102</v>
      </c>
      <c r="D58" s="285"/>
      <c r="E58" s="285"/>
      <c r="F58" s="285"/>
      <c r="G58" s="130" t="s">
        <v>44</v>
      </c>
      <c r="H58" s="131">
        <v>18</v>
      </c>
      <c r="I58" s="131"/>
      <c r="J58" s="155">
        <v>1</v>
      </c>
      <c r="K58" s="156">
        <f t="shared" si="6"/>
        <v>17</v>
      </c>
    </row>
    <row r="59" spans="2:11" x14ac:dyDescent="0.25">
      <c r="B59" s="276"/>
      <c r="C59" s="151" t="s">
        <v>109</v>
      </c>
      <c r="D59" s="285"/>
      <c r="E59" s="285"/>
      <c r="F59" s="285"/>
      <c r="G59" s="130" t="s">
        <v>44</v>
      </c>
      <c r="H59" s="131">
        <v>18</v>
      </c>
      <c r="I59" s="131"/>
      <c r="J59" s="155">
        <v>1</v>
      </c>
      <c r="K59" s="156">
        <f t="shared" si="6"/>
        <v>17</v>
      </c>
    </row>
    <row r="60" spans="2:11" x14ac:dyDescent="0.25">
      <c r="B60" s="277"/>
      <c r="C60" s="151" t="s">
        <v>97</v>
      </c>
      <c r="D60" s="286"/>
      <c r="E60" s="286"/>
      <c r="F60" s="286"/>
      <c r="G60" s="130" t="s">
        <v>44</v>
      </c>
      <c r="H60" s="131">
        <v>18</v>
      </c>
      <c r="I60" s="131"/>
      <c r="J60" s="155">
        <v>1</v>
      </c>
      <c r="K60" s="156">
        <f t="shared" si="6"/>
        <v>17</v>
      </c>
    </row>
    <row r="61" spans="2:11" x14ac:dyDescent="0.25">
      <c r="B61" s="275">
        <v>2</v>
      </c>
      <c r="C61" s="157" t="s">
        <v>39</v>
      </c>
      <c r="D61" s="281" t="s">
        <v>14</v>
      </c>
      <c r="E61" s="281" t="s">
        <v>1</v>
      </c>
      <c r="F61" s="281" t="s">
        <v>25</v>
      </c>
      <c r="G61" s="125" t="s">
        <v>48</v>
      </c>
      <c r="H61" s="158">
        <v>20</v>
      </c>
      <c r="I61" s="158"/>
      <c r="J61" s="127">
        <v>0</v>
      </c>
      <c r="K61" s="128">
        <v>20</v>
      </c>
    </row>
    <row r="62" spans="2:11" x14ac:dyDescent="0.25">
      <c r="B62" s="276"/>
      <c r="C62" s="151" t="s">
        <v>107</v>
      </c>
      <c r="D62" s="282"/>
      <c r="E62" s="282"/>
      <c r="F62" s="282"/>
      <c r="G62" s="159" t="s">
        <v>110</v>
      </c>
      <c r="H62" s="131">
        <v>17</v>
      </c>
      <c r="I62" s="131"/>
      <c r="J62" s="127">
        <v>0</v>
      </c>
      <c r="K62" s="128">
        <f>H62-J62</f>
        <v>17</v>
      </c>
    </row>
    <row r="63" spans="2:11" x14ac:dyDescent="0.25">
      <c r="B63" s="276"/>
      <c r="C63" s="151" t="s">
        <v>95</v>
      </c>
      <c r="D63" s="282"/>
      <c r="E63" s="282"/>
      <c r="F63" s="282"/>
      <c r="G63" s="159" t="s">
        <v>110</v>
      </c>
      <c r="H63" s="131">
        <v>20</v>
      </c>
      <c r="I63" s="131"/>
      <c r="J63" s="127">
        <v>0</v>
      </c>
      <c r="K63" s="128">
        <f t="shared" ref="K63:K81" si="7">H63-J63</f>
        <v>20</v>
      </c>
    </row>
    <row r="64" spans="2:11" x14ac:dyDescent="0.25">
      <c r="B64" s="276"/>
      <c r="C64" s="151" t="s">
        <v>101</v>
      </c>
      <c r="D64" s="282"/>
      <c r="E64" s="282"/>
      <c r="F64" s="282"/>
      <c r="G64" s="159" t="s">
        <v>110</v>
      </c>
      <c r="H64" s="131">
        <v>20</v>
      </c>
      <c r="I64" s="131"/>
      <c r="J64" s="127">
        <v>0</v>
      </c>
      <c r="K64" s="128">
        <f t="shared" si="7"/>
        <v>20</v>
      </c>
    </row>
    <row r="65" spans="2:11" x14ac:dyDescent="0.25">
      <c r="B65" s="276"/>
      <c r="C65" s="151" t="s">
        <v>102</v>
      </c>
      <c r="D65" s="282"/>
      <c r="E65" s="282"/>
      <c r="F65" s="282"/>
      <c r="G65" s="159" t="s">
        <v>110</v>
      </c>
      <c r="H65" s="131">
        <v>21</v>
      </c>
      <c r="I65" s="131"/>
      <c r="J65" s="127">
        <v>0</v>
      </c>
      <c r="K65" s="128">
        <f t="shared" si="7"/>
        <v>21</v>
      </c>
    </row>
    <row r="66" spans="2:11" x14ac:dyDescent="0.25">
      <c r="B66" s="276"/>
      <c r="C66" s="151" t="s">
        <v>109</v>
      </c>
      <c r="D66" s="282"/>
      <c r="E66" s="282"/>
      <c r="F66" s="282"/>
      <c r="G66" s="159" t="s">
        <v>110</v>
      </c>
      <c r="H66" s="131">
        <v>17</v>
      </c>
      <c r="I66" s="131"/>
      <c r="J66" s="127">
        <v>0</v>
      </c>
      <c r="K66" s="128">
        <f t="shared" si="7"/>
        <v>17</v>
      </c>
    </row>
    <row r="67" spans="2:11" x14ac:dyDescent="0.25">
      <c r="B67" s="277"/>
      <c r="C67" s="151" t="s">
        <v>97</v>
      </c>
      <c r="D67" s="283"/>
      <c r="E67" s="283"/>
      <c r="F67" s="283"/>
      <c r="G67" s="159" t="s">
        <v>110</v>
      </c>
      <c r="H67" s="131">
        <v>20</v>
      </c>
      <c r="I67" s="131"/>
      <c r="J67" s="127">
        <v>0</v>
      </c>
      <c r="K67" s="128">
        <f t="shared" si="7"/>
        <v>20</v>
      </c>
    </row>
    <row r="68" spans="2:11" x14ac:dyDescent="0.25">
      <c r="B68" s="275">
        <v>2</v>
      </c>
      <c r="C68" s="157" t="s">
        <v>39</v>
      </c>
      <c r="D68" s="281" t="s">
        <v>14</v>
      </c>
      <c r="E68" s="281" t="s">
        <v>1</v>
      </c>
      <c r="F68" s="281" t="s">
        <v>16</v>
      </c>
      <c r="G68" s="125" t="s">
        <v>43</v>
      </c>
      <c r="H68" s="158">
        <v>32</v>
      </c>
      <c r="I68" s="158"/>
      <c r="J68" s="127">
        <v>3</v>
      </c>
      <c r="K68" s="128">
        <v>29</v>
      </c>
    </row>
    <row r="69" spans="2:11" x14ac:dyDescent="0.25">
      <c r="B69" s="276"/>
      <c r="C69" s="151" t="s">
        <v>107</v>
      </c>
      <c r="D69" s="282"/>
      <c r="E69" s="282"/>
      <c r="F69" s="282"/>
      <c r="G69" s="130" t="s">
        <v>45</v>
      </c>
      <c r="H69" s="131">
        <v>32</v>
      </c>
      <c r="I69" s="131"/>
      <c r="J69" s="127">
        <v>3</v>
      </c>
      <c r="K69" s="128">
        <f t="shared" si="7"/>
        <v>29</v>
      </c>
    </row>
    <row r="70" spans="2:11" x14ac:dyDescent="0.25">
      <c r="B70" s="276"/>
      <c r="C70" s="151" t="s">
        <v>95</v>
      </c>
      <c r="D70" s="282"/>
      <c r="E70" s="282"/>
      <c r="F70" s="282"/>
      <c r="G70" s="130" t="s">
        <v>45</v>
      </c>
      <c r="H70" s="131">
        <v>27</v>
      </c>
      <c r="I70" s="131"/>
      <c r="J70" s="127">
        <v>0</v>
      </c>
      <c r="K70" s="128">
        <f t="shared" si="7"/>
        <v>27</v>
      </c>
    </row>
    <row r="71" spans="2:11" x14ac:dyDescent="0.25">
      <c r="B71" s="276"/>
      <c r="C71" s="151" t="s">
        <v>101</v>
      </c>
      <c r="D71" s="282"/>
      <c r="E71" s="282"/>
      <c r="F71" s="282"/>
      <c r="G71" s="130" t="s">
        <v>45</v>
      </c>
      <c r="H71" s="131">
        <v>22</v>
      </c>
      <c r="I71" s="131"/>
      <c r="J71" s="127">
        <v>0</v>
      </c>
      <c r="K71" s="128">
        <f t="shared" si="7"/>
        <v>22</v>
      </c>
    </row>
    <row r="72" spans="2:11" x14ac:dyDescent="0.25">
      <c r="B72" s="276"/>
      <c r="C72" s="151" t="s">
        <v>102</v>
      </c>
      <c r="D72" s="282"/>
      <c r="E72" s="282"/>
      <c r="F72" s="282"/>
      <c r="G72" s="130" t="s">
        <v>45</v>
      </c>
      <c r="H72" s="131">
        <v>26</v>
      </c>
      <c r="I72" s="131"/>
      <c r="J72" s="127">
        <v>0</v>
      </c>
      <c r="K72" s="128">
        <f t="shared" si="7"/>
        <v>26</v>
      </c>
    </row>
    <row r="73" spans="2:11" x14ac:dyDescent="0.25">
      <c r="B73" s="276"/>
      <c r="C73" s="151" t="s">
        <v>109</v>
      </c>
      <c r="D73" s="282"/>
      <c r="E73" s="282"/>
      <c r="F73" s="282"/>
      <c r="G73" s="130" t="s">
        <v>45</v>
      </c>
      <c r="H73" s="131">
        <v>26</v>
      </c>
      <c r="I73" s="131"/>
      <c r="J73" s="127">
        <v>0</v>
      </c>
      <c r="K73" s="128">
        <f t="shared" si="7"/>
        <v>26</v>
      </c>
    </row>
    <row r="74" spans="2:11" x14ac:dyDescent="0.25">
      <c r="B74" s="277"/>
      <c r="C74" s="151" t="s">
        <v>97</v>
      </c>
      <c r="D74" s="283"/>
      <c r="E74" s="283"/>
      <c r="F74" s="283"/>
      <c r="G74" s="130" t="s">
        <v>45</v>
      </c>
      <c r="H74" s="131">
        <v>33</v>
      </c>
      <c r="I74" s="131"/>
      <c r="J74" s="127">
        <v>2</v>
      </c>
      <c r="K74" s="128">
        <f t="shared" si="7"/>
        <v>31</v>
      </c>
    </row>
    <row r="75" spans="2:11" x14ac:dyDescent="0.25">
      <c r="B75" s="275">
        <v>2</v>
      </c>
      <c r="C75" s="157" t="s">
        <v>39</v>
      </c>
      <c r="D75" s="281" t="s">
        <v>14</v>
      </c>
      <c r="E75" s="281" t="s">
        <v>1</v>
      </c>
      <c r="F75" s="281" t="s">
        <v>16</v>
      </c>
      <c r="G75" s="125" t="s">
        <v>15</v>
      </c>
      <c r="H75" s="158">
        <v>26</v>
      </c>
      <c r="I75" s="158"/>
      <c r="J75" s="127">
        <v>2</v>
      </c>
      <c r="K75" s="128">
        <v>24</v>
      </c>
    </row>
    <row r="76" spans="2:11" x14ac:dyDescent="0.25">
      <c r="B76" s="276"/>
      <c r="C76" s="151" t="s">
        <v>107</v>
      </c>
      <c r="D76" s="282"/>
      <c r="E76" s="282"/>
      <c r="F76" s="282"/>
      <c r="G76" s="159" t="s">
        <v>111</v>
      </c>
      <c r="H76" s="131">
        <v>6</v>
      </c>
      <c r="I76" s="131"/>
      <c r="J76" s="127">
        <v>0</v>
      </c>
      <c r="K76" s="128">
        <f t="shared" si="7"/>
        <v>6</v>
      </c>
    </row>
    <row r="77" spans="2:11" x14ac:dyDescent="0.25">
      <c r="B77" s="276"/>
      <c r="C77" s="151" t="s">
        <v>95</v>
      </c>
      <c r="D77" s="282"/>
      <c r="E77" s="282"/>
      <c r="F77" s="282"/>
      <c r="G77" s="159" t="s">
        <v>111</v>
      </c>
      <c r="H77" s="131">
        <v>26</v>
      </c>
      <c r="I77" s="131"/>
      <c r="J77" s="127">
        <v>2</v>
      </c>
      <c r="K77" s="128">
        <f t="shared" si="7"/>
        <v>24</v>
      </c>
    </row>
    <row r="78" spans="2:11" x14ac:dyDescent="0.25">
      <c r="B78" s="276"/>
      <c r="C78" s="151" t="s">
        <v>101</v>
      </c>
      <c r="D78" s="282"/>
      <c r="E78" s="282"/>
      <c r="F78" s="282"/>
      <c r="G78" s="159" t="s">
        <v>111</v>
      </c>
      <c r="H78" s="131">
        <v>30</v>
      </c>
      <c r="I78" s="131"/>
      <c r="J78" s="127">
        <v>2</v>
      </c>
      <c r="K78" s="128">
        <f t="shared" si="7"/>
        <v>28</v>
      </c>
    </row>
    <row r="79" spans="2:11" x14ac:dyDescent="0.25">
      <c r="B79" s="276"/>
      <c r="C79" s="151" t="s">
        <v>102</v>
      </c>
      <c r="D79" s="282"/>
      <c r="E79" s="282"/>
      <c r="F79" s="282"/>
      <c r="G79" s="159" t="s">
        <v>111</v>
      </c>
      <c r="H79" s="131">
        <v>26</v>
      </c>
      <c r="I79" s="131"/>
      <c r="J79" s="127">
        <v>2</v>
      </c>
      <c r="K79" s="128">
        <f t="shared" si="7"/>
        <v>24</v>
      </c>
    </row>
    <row r="80" spans="2:11" x14ac:dyDescent="0.25">
      <c r="B80" s="276"/>
      <c r="C80" s="151" t="s">
        <v>109</v>
      </c>
      <c r="D80" s="282"/>
      <c r="E80" s="282"/>
      <c r="F80" s="282"/>
      <c r="G80" s="159" t="s">
        <v>111</v>
      </c>
      <c r="H80" s="131">
        <v>26</v>
      </c>
      <c r="I80" s="131"/>
      <c r="J80" s="127">
        <v>2</v>
      </c>
      <c r="K80" s="128">
        <f t="shared" si="7"/>
        <v>24</v>
      </c>
    </row>
    <row r="81" spans="2:11" x14ac:dyDescent="0.25">
      <c r="B81" s="277"/>
      <c r="C81" s="151" t="s">
        <v>97</v>
      </c>
      <c r="D81" s="283"/>
      <c r="E81" s="283"/>
      <c r="F81" s="283"/>
      <c r="G81" s="159" t="s">
        <v>111</v>
      </c>
      <c r="H81" s="131">
        <v>19</v>
      </c>
      <c r="I81" s="131"/>
      <c r="J81" s="127">
        <v>0</v>
      </c>
      <c r="K81" s="128">
        <f t="shared" si="7"/>
        <v>19</v>
      </c>
    </row>
    <row r="82" spans="2:11" x14ac:dyDescent="0.25">
      <c r="B82" s="275">
        <v>2</v>
      </c>
      <c r="C82" s="160" t="s">
        <v>39</v>
      </c>
      <c r="D82" s="272" t="s">
        <v>14</v>
      </c>
      <c r="E82" s="272" t="s">
        <v>17</v>
      </c>
      <c r="F82" s="272" t="s">
        <v>16</v>
      </c>
      <c r="G82" s="161" t="s">
        <v>15</v>
      </c>
      <c r="H82" s="162">
        <v>24</v>
      </c>
      <c r="I82" s="162">
        <v>1</v>
      </c>
      <c r="J82" s="163"/>
      <c r="K82" s="164">
        <v>23</v>
      </c>
    </row>
    <row r="83" spans="2:11" x14ac:dyDescent="0.25">
      <c r="B83" s="276"/>
      <c r="C83" s="151" t="s">
        <v>107</v>
      </c>
      <c r="D83" s="273"/>
      <c r="E83" s="273"/>
      <c r="F83" s="273"/>
      <c r="G83" s="130" t="s">
        <v>112</v>
      </c>
      <c r="H83" s="131">
        <v>20</v>
      </c>
      <c r="I83" s="131"/>
      <c r="J83" s="163"/>
      <c r="K83" s="164">
        <f>H83-J83-I83</f>
        <v>20</v>
      </c>
    </row>
    <row r="84" spans="2:11" x14ac:dyDescent="0.25">
      <c r="B84" s="276"/>
      <c r="C84" s="151" t="s">
        <v>95</v>
      </c>
      <c r="D84" s="273"/>
      <c r="E84" s="273"/>
      <c r="F84" s="273"/>
      <c r="G84" s="130" t="s">
        <v>112</v>
      </c>
      <c r="H84" s="131">
        <v>30</v>
      </c>
      <c r="I84" s="131"/>
      <c r="J84" s="163"/>
      <c r="K84" s="164">
        <f t="shared" ref="K84:K88" si="8">H84-J84-I84</f>
        <v>30</v>
      </c>
    </row>
    <row r="85" spans="2:11" x14ac:dyDescent="0.25">
      <c r="B85" s="276"/>
      <c r="C85" s="151" t="s">
        <v>101</v>
      </c>
      <c r="D85" s="273"/>
      <c r="E85" s="273"/>
      <c r="F85" s="273"/>
      <c r="G85" s="130" t="s">
        <v>112</v>
      </c>
      <c r="H85" s="131">
        <v>30</v>
      </c>
      <c r="I85" s="131"/>
      <c r="J85" s="163"/>
      <c r="K85" s="164">
        <f t="shared" si="8"/>
        <v>30</v>
      </c>
    </row>
    <row r="86" spans="2:11" x14ac:dyDescent="0.25">
      <c r="B86" s="276"/>
      <c r="C86" s="151" t="s">
        <v>102</v>
      </c>
      <c r="D86" s="273"/>
      <c r="E86" s="273"/>
      <c r="F86" s="273"/>
      <c r="G86" s="130" t="s">
        <v>112</v>
      </c>
      <c r="H86" s="131">
        <v>19</v>
      </c>
      <c r="I86" s="131"/>
      <c r="J86" s="163"/>
      <c r="K86" s="164">
        <f t="shared" si="8"/>
        <v>19</v>
      </c>
    </row>
    <row r="87" spans="2:11" x14ac:dyDescent="0.25">
      <c r="B87" s="276"/>
      <c r="C87" s="151" t="s">
        <v>109</v>
      </c>
      <c r="D87" s="273"/>
      <c r="E87" s="273"/>
      <c r="F87" s="273"/>
      <c r="G87" s="130" t="s">
        <v>112</v>
      </c>
      <c r="H87" s="131">
        <v>18</v>
      </c>
      <c r="I87" s="131">
        <v>1</v>
      </c>
      <c r="J87" s="163"/>
      <c r="K87" s="164">
        <f t="shared" si="8"/>
        <v>17</v>
      </c>
    </row>
    <row r="88" spans="2:11" x14ac:dyDescent="0.25">
      <c r="B88" s="277"/>
      <c r="C88" s="151" t="s">
        <v>97</v>
      </c>
      <c r="D88" s="274"/>
      <c r="E88" s="274"/>
      <c r="F88" s="274"/>
      <c r="G88" s="130" t="s">
        <v>112</v>
      </c>
      <c r="H88" s="131">
        <v>24</v>
      </c>
      <c r="I88" s="131">
        <v>1</v>
      </c>
      <c r="J88" s="163"/>
      <c r="K88" s="164">
        <f t="shared" si="8"/>
        <v>23</v>
      </c>
    </row>
    <row r="89" spans="2:11" x14ac:dyDescent="0.25">
      <c r="B89" s="275">
        <v>2</v>
      </c>
      <c r="C89" s="160" t="s">
        <v>39</v>
      </c>
      <c r="D89" s="272" t="s">
        <v>14</v>
      </c>
      <c r="E89" s="272" t="s">
        <v>17</v>
      </c>
      <c r="F89" s="272" t="s">
        <v>16</v>
      </c>
      <c r="G89" s="161" t="s">
        <v>43</v>
      </c>
      <c r="H89" s="162">
        <v>20</v>
      </c>
      <c r="I89" s="162"/>
      <c r="J89" s="163">
        <v>2</v>
      </c>
      <c r="K89" s="164">
        <f>H89-J89</f>
        <v>18</v>
      </c>
    </row>
    <row r="90" spans="2:11" x14ac:dyDescent="0.25">
      <c r="B90" s="276"/>
      <c r="C90" s="151" t="s">
        <v>107</v>
      </c>
      <c r="D90" s="273"/>
      <c r="E90" s="273"/>
      <c r="F90" s="273"/>
      <c r="G90" s="130" t="s">
        <v>113</v>
      </c>
      <c r="H90" s="131">
        <v>14</v>
      </c>
      <c r="I90" s="131"/>
      <c r="J90" s="127">
        <v>1</v>
      </c>
      <c r="K90" s="164">
        <f>H90-J90-I90</f>
        <v>13</v>
      </c>
    </row>
    <row r="91" spans="2:11" x14ac:dyDescent="0.25">
      <c r="B91" s="276"/>
      <c r="C91" s="151" t="s">
        <v>95</v>
      </c>
      <c r="D91" s="273"/>
      <c r="E91" s="273"/>
      <c r="F91" s="273"/>
      <c r="G91" s="130" t="s">
        <v>113</v>
      </c>
      <c r="H91" s="131">
        <v>11</v>
      </c>
      <c r="I91" s="131"/>
      <c r="J91" s="127">
        <v>1</v>
      </c>
      <c r="K91" s="164">
        <f t="shared" ref="K91:K95" si="9">H91-J91-I91</f>
        <v>10</v>
      </c>
    </row>
    <row r="92" spans="2:11" x14ac:dyDescent="0.25">
      <c r="B92" s="276"/>
      <c r="C92" s="151" t="s">
        <v>101</v>
      </c>
      <c r="D92" s="273"/>
      <c r="E92" s="273"/>
      <c r="F92" s="273"/>
      <c r="G92" s="130" t="s">
        <v>113</v>
      </c>
      <c r="H92" s="131">
        <v>11</v>
      </c>
      <c r="I92" s="131">
        <v>1</v>
      </c>
      <c r="J92" s="127">
        <v>1</v>
      </c>
      <c r="K92" s="164">
        <f t="shared" si="9"/>
        <v>9</v>
      </c>
    </row>
    <row r="93" spans="2:11" x14ac:dyDescent="0.25">
      <c r="B93" s="276"/>
      <c r="C93" s="151" t="s">
        <v>102</v>
      </c>
      <c r="D93" s="273"/>
      <c r="E93" s="273"/>
      <c r="F93" s="273"/>
      <c r="G93" s="130" t="s">
        <v>113</v>
      </c>
      <c r="H93" s="131">
        <v>19</v>
      </c>
      <c r="I93" s="131"/>
      <c r="J93" s="127">
        <v>1</v>
      </c>
      <c r="K93" s="164">
        <f t="shared" si="9"/>
        <v>18</v>
      </c>
    </row>
    <row r="94" spans="2:11" x14ac:dyDescent="0.25">
      <c r="B94" s="276"/>
      <c r="C94" s="151" t="s">
        <v>109</v>
      </c>
      <c r="D94" s="273"/>
      <c r="E94" s="273"/>
      <c r="F94" s="273"/>
      <c r="G94" s="130" t="s">
        <v>113</v>
      </c>
      <c r="H94" s="131">
        <v>21</v>
      </c>
      <c r="I94" s="131"/>
      <c r="J94" s="127">
        <v>1</v>
      </c>
      <c r="K94" s="164">
        <f t="shared" si="9"/>
        <v>20</v>
      </c>
    </row>
    <row r="95" spans="2:11" x14ac:dyDescent="0.25">
      <c r="B95" s="277"/>
      <c r="C95" s="151" t="s">
        <v>97</v>
      </c>
      <c r="D95" s="274"/>
      <c r="E95" s="274"/>
      <c r="F95" s="274"/>
      <c r="G95" s="130" t="s">
        <v>113</v>
      </c>
      <c r="H95" s="131">
        <v>20</v>
      </c>
      <c r="I95" s="131"/>
      <c r="J95" s="127">
        <v>1</v>
      </c>
      <c r="K95" s="164">
        <f t="shared" si="9"/>
        <v>19</v>
      </c>
    </row>
    <row r="96" spans="2:11" x14ac:dyDescent="0.25">
      <c r="B96" s="275">
        <v>2</v>
      </c>
      <c r="C96" s="160" t="s">
        <v>47</v>
      </c>
      <c r="D96" s="272" t="s">
        <v>29</v>
      </c>
      <c r="E96" s="272" t="s">
        <v>17</v>
      </c>
      <c r="F96" s="272" t="s">
        <v>25</v>
      </c>
      <c r="G96" s="161" t="s">
        <v>48</v>
      </c>
      <c r="H96" s="162">
        <v>11</v>
      </c>
      <c r="I96" s="162"/>
      <c r="J96" s="163">
        <v>0</v>
      </c>
      <c r="K96" s="164">
        <f t="shared" ref="K96:K109" si="10">H96-J96</f>
        <v>11</v>
      </c>
    </row>
    <row r="97" spans="2:12" x14ac:dyDescent="0.25">
      <c r="B97" s="276"/>
      <c r="C97" s="151" t="s">
        <v>107</v>
      </c>
      <c r="D97" s="273"/>
      <c r="E97" s="273"/>
      <c r="F97" s="273"/>
      <c r="G97" s="130" t="s">
        <v>49</v>
      </c>
      <c r="H97" s="131">
        <v>11</v>
      </c>
      <c r="I97" s="131"/>
      <c r="J97" s="127">
        <v>0</v>
      </c>
      <c r="K97" s="164">
        <f t="shared" si="10"/>
        <v>11</v>
      </c>
    </row>
    <row r="98" spans="2:12" x14ac:dyDescent="0.25">
      <c r="B98" s="276"/>
      <c r="C98" s="151" t="s">
        <v>95</v>
      </c>
      <c r="D98" s="273"/>
      <c r="E98" s="273"/>
      <c r="F98" s="273"/>
      <c r="G98" s="130" t="s">
        <v>49</v>
      </c>
      <c r="H98" s="131">
        <v>11</v>
      </c>
      <c r="I98" s="131"/>
      <c r="J98" s="127">
        <v>0</v>
      </c>
      <c r="K98" s="164">
        <f t="shared" si="10"/>
        <v>11</v>
      </c>
    </row>
    <row r="99" spans="2:12" x14ac:dyDescent="0.25">
      <c r="B99" s="276"/>
      <c r="C99" s="151" t="s">
        <v>101</v>
      </c>
      <c r="D99" s="273"/>
      <c r="E99" s="273"/>
      <c r="F99" s="273"/>
      <c r="G99" s="130" t="s">
        <v>49</v>
      </c>
      <c r="H99" s="131">
        <v>12</v>
      </c>
      <c r="I99" s="131"/>
      <c r="J99" s="127">
        <v>0</v>
      </c>
      <c r="K99" s="164">
        <f t="shared" si="10"/>
        <v>12</v>
      </c>
    </row>
    <row r="100" spans="2:12" x14ac:dyDescent="0.25">
      <c r="B100" s="276"/>
      <c r="C100" s="151" t="s">
        <v>102</v>
      </c>
      <c r="D100" s="273"/>
      <c r="E100" s="273"/>
      <c r="F100" s="273"/>
      <c r="G100" s="130" t="s">
        <v>49</v>
      </c>
      <c r="H100" s="131">
        <v>11</v>
      </c>
      <c r="I100" s="131"/>
      <c r="J100" s="127">
        <v>0</v>
      </c>
      <c r="K100" s="164">
        <f t="shared" si="10"/>
        <v>11</v>
      </c>
    </row>
    <row r="101" spans="2:12" x14ac:dyDescent="0.25">
      <c r="B101" s="276"/>
      <c r="C101" s="151" t="s">
        <v>109</v>
      </c>
      <c r="D101" s="273"/>
      <c r="E101" s="273"/>
      <c r="F101" s="273"/>
      <c r="G101" s="130" t="s">
        <v>49</v>
      </c>
      <c r="H101" s="131">
        <v>11</v>
      </c>
      <c r="I101" s="131"/>
      <c r="J101" s="127">
        <v>0</v>
      </c>
      <c r="K101" s="164">
        <f t="shared" si="10"/>
        <v>11</v>
      </c>
    </row>
    <row r="102" spans="2:12" x14ac:dyDescent="0.25">
      <c r="B102" s="277"/>
      <c r="C102" s="151" t="s">
        <v>97</v>
      </c>
      <c r="D102" s="274"/>
      <c r="E102" s="274"/>
      <c r="F102" s="274"/>
      <c r="G102" s="130" t="s">
        <v>49</v>
      </c>
      <c r="H102" s="131">
        <v>13</v>
      </c>
      <c r="I102" s="131"/>
      <c r="J102" s="127">
        <v>0</v>
      </c>
      <c r="K102" s="164">
        <f t="shared" si="10"/>
        <v>13</v>
      </c>
    </row>
    <row r="103" spans="2:12" ht="15" customHeight="1" x14ac:dyDescent="0.25">
      <c r="B103" s="275">
        <v>2</v>
      </c>
      <c r="C103" s="160" t="s">
        <v>47</v>
      </c>
      <c r="D103" s="272" t="s">
        <v>29</v>
      </c>
      <c r="E103" s="272" t="s">
        <v>17</v>
      </c>
      <c r="F103" s="272" t="s">
        <v>25</v>
      </c>
      <c r="G103" s="161" t="s">
        <v>50</v>
      </c>
      <c r="H103" s="162">
        <v>42</v>
      </c>
      <c r="I103" s="162"/>
      <c r="J103" s="163">
        <v>1</v>
      </c>
      <c r="K103" s="164">
        <v>41</v>
      </c>
    </row>
    <row r="104" spans="2:12" x14ac:dyDescent="0.25">
      <c r="B104" s="276"/>
      <c r="C104" s="151" t="s">
        <v>107</v>
      </c>
      <c r="D104" s="273"/>
      <c r="E104" s="273"/>
      <c r="F104" s="273"/>
      <c r="G104" s="130" t="s">
        <v>51</v>
      </c>
      <c r="H104" s="131">
        <v>40</v>
      </c>
      <c r="I104" s="131"/>
      <c r="J104" s="127">
        <v>1</v>
      </c>
      <c r="K104" s="164">
        <f t="shared" si="10"/>
        <v>39</v>
      </c>
    </row>
    <row r="105" spans="2:12" x14ac:dyDescent="0.25">
      <c r="B105" s="276"/>
      <c r="C105" s="151" t="s">
        <v>95</v>
      </c>
      <c r="D105" s="273"/>
      <c r="E105" s="273"/>
      <c r="F105" s="273"/>
      <c r="G105" s="130" t="s">
        <v>51</v>
      </c>
      <c r="H105" s="131">
        <v>42</v>
      </c>
      <c r="I105" s="131"/>
      <c r="J105" s="127">
        <v>1</v>
      </c>
      <c r="K105" s="164">
        <f t="shared" si="10"/>
        <v>41</v>
      </c>
    </row>
    <row r="106" spans="2:12" x14ac:dyDescent="0.25">
      <c r="B106" s="276"/>
      <c r="C106" s="151" t="s">
        <v>101</v>
      </c>
      <c r="D106" s="273"/>
      <c r="E106" s="273"/>
      <c r="F106" s="273"/>
      <c r="G106" s="130" t="s">
        <v>51</v>
      </c>
      <c r="H106" s="131">
        <v>41</v>
      </c>
      <c r="I106" s="131"/>
      <c r="J106" s="127">
        <v>1</v>
      </c>
      <c r="K106" s="164">
        <f t="shared" si="10"/>
        <v>40</v>
      </c>
    </row>
    <row r="107" spans="2:12" x14ac:dyDescent="0.25">
      <c r="B107" s="276"/>
      <c r="C107" s="151" t="s">
        <v>102</v>
      </c>
      <c r="D107" s="273"/>
      <c r="E107" s="273"/>
      <c r="F107" s="273"/>
      <c r="G107" s="130" t="s">
        <v>51</v>
      </c>
      <c r="H107" s="131">
        <v>42</v>
      </c>
      <c r="I107" s="131"/>
      <c r="J107" s="127">
        <v>1</v>
      </c>
      <c r="K107" s="164">
        <f t="shared" si="10"/>
        <v>41</v>
      </c>
    </row>
    <row r="108" spans="2:12" x14ac:dyDescent="0.25">
      <c r="B108" s="276"/>
      <c r="C108" s="151" t="s">
        <v>109</v>
      </c>
      <c r="D108" s="273"/>
      <c r="E108" s="273"/>
      <c r="F108" s="273"/>
      <c r="G108" s="130" t="s">
        <v>51</v>
      </c>
      <c r="H108" s="131">
        <v>43</v>
      </c>
      <c r="I108" s="131"/>
      <c r="J108" s="127">
        <v>1</v>
      </c>
      <c r="K108" s="164">
        <f t="shared" si="10"/>
        <v>42</v>
      </c>
    </row>
    <row r="109" spans="2:12" x14ac:dyDescent="0.25">
      <c r="B109" s="277"/>
      <c r="C109" s="151" t="s">
        <v>97</v>
      </c>
      <c r="D109" s="274"/>
      <c r="E109" s="274"/>
      <c r="F109" s="274"/>
      <c r="G109" s="130" t="s">
        <v>51</v>
      </c>
      <c r="H109" s="131">
        <v>41</v>
      </c>
      <c r="I109" s="131"/>
      <c r="J109" s="127">
        <v>1</v>
      </c>
      <c r="K109" s="164">
        <f t="shared" si="10"/>
        <v>40</v>
      </c>
    </row>
    <row r="110" spans="2:12" x14ac:dyDescent="0.25">
      <c r="B110" s="275">
        <v>2</v>
      </c>
      <c r="C110" s="165" t="s">
        <v>54</v>
      </c>
      <c r="D110" s="284" t="s">
        <v>14</v>
      </c>
      <c r="E110" s="284" t="s">
        <v>12</v>
      </c>
      <c r="F110" s="284" t="s">
        <v>16</v>
      </c>
      <c r="G110" s="153" t="s">
        <v>15</v>
      </c>
      <c r="H110" s="154">
        <v>35</v>
      </c>
      <c r="I110" s="131">
        <v>1</v>
      </c>
      <c r="J110" s="155">
        <v>1</v>
      </c>
      <c r="K110" s="164">
        <v>34</v>
      </c>
      <c r="L110" s="229">
        <f>SUM(K110+K117+K124+K131)</f>
        <v>131</v>
      </c>
    </row>
    <row r="111" spans="2:12" x14ac:dyDescent="0.25">
      <c r="B111" s="276"/>
      <c r="C111" s="151" t="s">
        <v>107</v>
      </c>
      <c r="D111" s="285"/>
      <c r="E111" s="285"/>
      <c r="F111" s="285"/>
      <c r="G111" s="130" t="s">
        <v>114</v>
      </c>
      <c r="H111" s="131">
        <v>35</v>
      </c>
      <c r="I111" s="131">
        <v>1</v>
      </c>
      <c r="J111" s="127">
        <v>1</v>
      </c>
      <c r="K111" s="164">
        <v>34</v>
      </c>
      <c r="L111" s="229"/>
    </row>
    <row r="112" spans="2:12" x14ac:dyDescent="0.25">
      <c r="B112" s="276"/>
      <c r="C112" s="151" t="s">
        <v>95</v>
      </c>
      <c r="D112" s="285"/>
      <c r="E112" s="285"/>
      <c r="F112" s="285"/>
      <c r="G112" s="130" t="s">
        <v>114</v>
      </c>
      <c r="H112" s="131">
        <v>31</v>
      </c>
      <c r="I112" s="131"/>
      <c r="J112" s="127">
        <v>1</v>
      </c>
      <c r="K112" s="164">
        <f t="shared" ref="K112:K116" si="11">H112-J112-I112</f>
        <v>30</v>
      </c>
      <c r="L112" s="229"/>
    </row>
    <row r="113" spans="2:12" x14ac:dyDescent="0.25">
      <c r="B113" s="276"/>
      <c r="C113" s="151" t="s">
        <v>101</v>
      </c>
      <c r="D113" s="285"/>
      <c r="E113" s="285"/>
      <c r="F113" s="285"/>
      <c r="G113" s="130" t="s">
        <v>114</v>
      </c>
      <c r="H113" s="131">
        <v>38</v>
      </c>
      <c r="I113" s="131"/>
      <c r="J113" s="127">
        <v>1</v>
      </c>
      <c r="K113" s="164">
        <f t="shared" si="11"/>
        <v>37</v>
      </c>
      <c r="L113" s="229"/>
    </row>
    <row r="114" spans="2:12" x14ac:dyDescent="0.25">
      <c r="B114" s="276"/>
      <c r="C114" s="151" t="s">
        <v>102</v>
      </c>
      <c r="D114" s="285"/>
      <c r="E114" s="285"/>
      <c r="F114" s="285"/>
      <c r="G114" s="130" t="s">
        <v>114</v>
      </c>
      <c r="H114" s="131">
        <v>37</v>
      </c>
      <c r="I114" s="131"/>
      <c r="J114" s="127">
        <v>1</v>
      </c>
      <c r="K114" s="164">
        <f t="shared" si="11"/>
        <v>36</v>
      </c>
      <c r="L114" s="229"/>
    </row>
    <row r="115" spans="2:12" x14ac:dyDescent="0.25">
      <c r="B115" s="276"/>
      <c r="C115" s="166" t="s">
        <v>115</v>
      </c>
      <c r="D115" s="285"/>
      <c r="E115" s="285"/>
      <c r="F115" s="285"/>
      <c r="G115" s="130" t="s">
        <v>114</v>
      </c>
      <c r="H115" s="131">
        <v>35</v>
      </c>
      <c r="I115" s="131"/>
      <c r="J115" s="127">
        <v>1</v>
      </c>
      <c r="K115" s="164">
        <f t="shared" si="11"/>
        <v>34</v>
      </c>
      <c r="L115" s="229"/>
    </row>
    <row r="116" spans="2:12" x14ac:dyDescent="0.25">
      <c r="B116" s="277"/>
      <c r="C116" s="166" t="s">
        <v>116</v>
      </c>
      <c r="D116" s="286"/>
      <c r="E116" s="286"/>
      <c r="F116" s="286"/>
      <c r="G116" s="130" t="s">
        <v>114</v>
      </c>
      <c r="H116" s="131">
        <v>33</v>
      </c>
      <c r="I116" s="131"/>
      <c r="J116" s="127">
        <v>1</v>
      </c>
      <c r="K116" s="164">
        <f t="shared" si="11"/>
        <v>32</v>
      </c>
      <c r="L116" s="229"/>
    </row>
    <row r="117" spans="2:12" x14ac:dyDescent="0.25">
      <c r="B117" s="275">
        <v>2</v>
      </c>
      <c r="C117" s="165" t="s">
        <v>54</v>
      </c>
      <c r="D117" s="284" t="s">
        <v>14</v>
      </c>
      <c r="E117" s="284" t="s">
        <v>12</v>
      </c>
      <c r="F117" s="284" t="s">
        <v>16</v>
      </c>
      <c r="G117" s="153" t="s">
        <v>43</v>
      </c>
      <c r="H117" s="131">
        <v>28</v>
      </c>
      <c r="I117" s="167">
        <v>1</v>
      </c>
      <c r="J117" s="167">
        <v>1</v>
      </c>
      <c r="K117" s="156">
        <v>27</v>
      </c>
      <c r="L117" s="229"/>
    </row>
    <row r="118" spans="2:12" x14ac:dyDescent="0.25">
      <c r="B118" s="276"/>
      <c r="C118" s="151" t="s">
        <v>107</v>
      </c>
      <c r="D118" s="285"/>
      <c r="E118" s="285"/>
      <c r="F118" s="285"/>
      <c r="G118" s="130" t="s">
        <v>117</v>
      </c>
      <c r="H118" s="131">
        <v>10</v>
      </c>
      <c r="I118" s="131"/>
      <c r="J118" s="155">
        <v>1</v>
      </c>
      <c r="K118" s="156">
        <f>H118-J118-I118</f>
        <v>9</v>
      </c>
      <c r="L118" s="229"/>
    </row>
    <row r="119" spans="2:12" x14ac:dyDescent="0.25">
      <c r="B119" s="276"/>
      <c r="C119" s="151" t="s">
        <v>95</v>
      </c>
      <c r="D119" s="285"/>
      <c r="E119" s="285"/>
      <c r="F119" s="285"/>
      <c r="G119" s="130" t="s">
        <v>117</v>
      </c>
      <c r="H119" s="131">
        <v>28</v>
      </c>
      <c r="I119" s="131">
        <v>1</v>
      </c>
      <c r="J119" s="155">
        <v>1</v>
      </c>
      <c r="K119" s="156">
        <f t="shared" ref="K119:K123" si="12">H119-J119-I119</f>
        <v>26</v>
      </c>
      <c r="L119" s="229"/>
    </row>
    <row r="120" spans="2:12" x14ac:dyDescent="0.25">
      <c r="B120" s="276"/>
      <c r="C120" s="151" t="s">
        <v>101</v>
      </c>
      <c r="D120" s="285"/>
      <c r="E120" s="285"/>
      <c r="F120" s="285"/>
      <c r="G120" s="130" t="s">
        <v>117</v>
      </c>
      <c r="H120" s="131">
        <v>18</v>
      </c>
      <c r="I120" s="131"/>
      <c r="J120" s="155">
        <v>1</v>
      </c>
      <c r="K120" s="156">
        <f t="shared" si="12"/>
        <v>17</v>
      </c>
      <c r="L120" s="229"/>
    </row>
    <row r="121" spans="2:12" x14ac:dyDescent="0.25">
      <c r="B121" s="276"/>
      <c r="C121" s="151" t="s">
        <v>102</v>
      </c>
      <c r="D121" s="285"/>
      <c r="E121" s="285"/>
      <c r="F121" s="285"/>
      <c r="G121" s="130" t="s">
        <v>117</v>
      </c>
      <c r="H121" s="131">
        <v>18</v>
      </c>
      <c r="I121" s="131"/>
      <c r="J121" s="155">
        <v>1</v>
      </c>
      <c r="K121" s="156">
        <f t="shared" si="12"/>
        <v>17</v>
      </c>
      <c r="L121" s="229"/>
    </row>
    <row r="122" spans="2:12" x14ac:dyDescent="0.25">
      <c r="B122" s="276"/>
      <c r="C122" s="166" t="s">
        <v>115</v>
      </c>
      <c r="D122" s="285"/>
      <c r="E122" s="285"/>
      <c r="F122" s="285"/>
      <c r="G122" s="130" t="s">
        <v>117</v>
      </c>
      <c r="H122" s="131">
        <v>35</v>
      </c>
      <c r="I122" s="131"/>
      <c r="J122" s="155">
        <v>1</v>
      </c>
      <c r="K122" s="156">
        <f t="shared" si="12"/>
        <v>34</v>
      </c>
      <c r="L122" s="229"/>
    </row>
    <row r="123" spans="2:12" x14ac:dyDescent="0.25">
      <c r="B123" s="277"/>
      <c r="C123" s="166" t="s">
        <v>116</v>
      </c>
      <c r="D123" s="286"/>
      <c r="E123" s="286"/>
      <c r="F123" s="286"/>
      <c r="G123" s="130" t="s">
        <v>117</v>
      </c>
      <c r="H123" s="131">
        <v>16</v>
      </c>
      <c r="I123" s="131"/>
      <c r="J123" s="155">
        <v>1</v>
      </c>
      <c r="K123" s="156">
        <f t="shared" si="12"/>
        <v>15</v>
      </c>
      <c r="L123" s="229"/>
    </row>
    <row r="124" spans="2:12" x14ac:dyDescent="0.25">
      <c r="B124" s="275">
        <v>2</v>
      </c>
      <c r="C124" s="152" t="s">
        <v>54</v>
      </c>
      <c r="D124" s="284" t="s">
        <v>14</v>
      </c>
      <c r="E124" s="284" t="s">
        <v>12</v>
      </c>
      <c r="F124" s="284" t="s">
        <v>16</v>
      </c>
      <c r="G124" s="153" t="s">
        <v>48</v>
      </c>
      <c r="H124" s="154">
        <v>37</v>
      </c>
      <c r="I124" s="154"/>
      <c r="J124" s="155">
        <v>1</v>
      </c>
      <c r="K124" s="156">
        <v>36</v>
      </c>
      <c r="L124" s="229"/>
    </row>
    <row r="125" spans="2:12" x14ac:dyDescent="0.25">
      <c r="B125" s="276"/>
      <c r="C125" s="151" t="s">
        <v>107</v>
      </c>
      <c r="D125" s="285"/>
      <c r="E125" s="285"/>
      <c r="F125" s="285"/>
      <c r="G125" s="159" t="s">
        <v>118</v>
      </c>
      <c r="H125" s="131">
        <v>37</v>
      </c>
      <c r="I125" s="131"/>
      <c r="J125" s="155">
        <v>1</v>
      </c>
      <c r="K125" s="156">
        <f>H125-J125-I125</f>
        <v>36</v>
      </c>
      <c r="L125" s="229"/>
    </row>
    <row r="126" spans="2:12" x14ac:dyDescent="0.25">
      <c r="B126" s="276"/>
      <c r="C126" s="151" t="s">
        <v>95</v>
      </c>
      <c r="D126" s="285"/>
      <c r="E126" s="285"/>
      <c r="F126" s="285"/>
      <c r="G126" s="159" t="s">
        <v>118</v>
      </c>
      <c r="H126" s="131">
        <v>38</v>
      </c>
      <c r="I126" s="131"/>
      <c r="J126" s="155">
        <v>1</v>
      </c>
      <c r="K126" s="156">
        <f t="shared" ref="K126:K130" si="13">H126-J126-I126</f>
        <v>37</v>
      </c>
      <c r="L126" s="229"/>
    </row>
    <row r="127" spans="2:12" x14ac:dyDescent="0.25">
      <c r="B127" s="276"/>
      <c r="C127" s="151" t="s">
        <v>101</v>
      </c>
      <c r="D127" s="285"/>
      <c r="E127" s="285"/>
      <c r="F127" s="285"/>
      <c r="G127" s="159" t="s">
        <v>118</v>
      </c>
      <c r="H127" s="131">
        <v>19</v>
      </c>
      <c r="I127" s="131"/>
      <c r="J127" s="155">
        <v>1</v>
      </c>
      <c r="K127" s="156">
        <f t="shared" si="13"/>
        <v>18</v>
      </c>
      <c r="L127" s="229"/>
    </row>
    <row r="128" spans="2:12" x14ac:dyDescent="0.25">
      <c r="B128" s="276"/>
      <c r="C128" s="151" t="s">
        <v>102</v>
      </c>
      <c r="D128" s="285"/>
      <c r="E128" s="285"/>
      <c r="F128" s="285"/>
      <c r="G128" s="159" t="s">
        <v>118</v>
      </c>
      <c r="H128" s="131">
        <v>10</v>
      </c>
      <c r="I128" s="131"/>
      <c r="J128" s="155">
        <v>1</v>
      </c>
      <c r="K128" s="156">
        <f t="shared" si="13"/>
        <v>9</v>
      </c>
      <c r="L128" s="229"/>
    </row>
    <row r="129" spans="2:12" x14ac:dyDescent="0.25">
      <c r="B129" s="276"/>
      <c r="C129" s="166" t="s">
        <v>115</v>
      </c>
      <c r="D129" s="285"/>
      <c r="E129" s="285"/>
      <c r="F129" s="285"/>
      <c r="G129" s="159" t="s">
        <v>118</v>
      </c>
      <c r="H129" s="131">
        <v>28</v>
      </c>
      <c r="I129" s="131">
        <v>1</v>
      </c>
      <c r="J129" s="155">
        <v>1</v>
      </c>
      <c r="K129" s="156">
        <f>H129-J129-I129</f>
        <v>26</v>
      </c>
      <c r="L129" s="229"/>
    </row>
    <row r="130" spans="2:12" x14ac:dyDescent="0.25">
      <c r="B130" s="277"/>
      <c r="C130" s="166" t="s">
        <v>116</v>
      </c>
      <c r="D130" s="286"/>
      <c r="E130" s="286"/>
      <c r="F130" s="286"/>
      <c r="G130" s="159" t="s">
        <v>118</v>
      </c>
      <c r="H130" s="131">
        <v>14</v>
      </c>
      <c r="I130" s="131"/>
      <c r="J130" s="155">
        <v>1</v>
      </c>
      <c r="K130" s="156">
        <f t="shared" si="13"/>
        <v>13</v>
      </c>
      <c r="L130" s="229"/>
    </row>
    <row r="131" spans="2:12" x14ac:dyDescent="0.25">
      <c r="B131" s="275">
        <v>2</v>
      </c>
      <c r="C131" s="152" t="s">
        <v>54</v>
      </c>
      <c r="D131" s="284" t="s">
        <v>14</v>
      </c>
      <c r="E131" s="284" t="s">
        <v>12</v>
      </c>
      <c r="F131" s="284" t="s">
        <v>16</v>
      </c>
      <c r="G131" s="153" t="s">
        <v>50</v>
      </c>
      <c r="H131" s="154">
        <v>35</v>
      </c>
      <c r="I131" s="154"/>
      <c r="J131" s="155">
        <v>1</v>
      </c>
      <c r="K131" s="156">
        <v>34</v>
      </c>
      <c r="L131" s="229"/>
    </row>
    <row r="132" spans="2:12" x14ac:dyDescent="0.25">
      <c r="B132" s="276"/>
      <c r="C132" s="151" t="s">
        <v>107</v>
      </c>
      <c r="D132" s="285"/>
      <c r="E132" s="285"/>
      <c r="F132" s="285"/>
      <c r="G132" s="159" t="s">
        <v>119</v>
      </c>
      <c r="H132" s="131">
        <v>14</v>
      </c>
      <c r="I132" s="131"/>
      <c r="J132" s="155">
        <v>1</v>
      </c>
      <c r="K132" s="156">
        <f>H132-J132</f>
        <v>13</v>
      </c>
      <c r="L132" s="229"/>
    </row>
    <row r="133" spans="2:12" x14ac:dyDescent="0.25">
      <c r="B133" s="276"/>
      <c r="C133" s="151" t="s">
        <v>95</v>
      </c>
      <c r="D133" s="285"/>
      <c r="E133" s="285"/>
      <c r="F133" s="285"/>
      <c r="G133" s="159" t="s">
        <v>119</v>
      </c>
      <c r="H133" s="131">
        <v>12</v>
      </c>
      <c r="I133" s="131"/>
      <c r="J133" s="155">
        <v>1</v>
      </c>
      <c r="K133" s="156">
        <f t="shared" ref="K133:K196" si="14">H133-J133</f>
        <v>11</v>
      </c>
      <c r="L133" s="229"/>
    </row>
    <row r="134" spans="2:12" x14ac:dyDescent="0.25">
      <c r="B134" s="276"/>
      <c r="C134" s="151" t="s">
        <v>101</v>
      </c>
      <c r="D134" s="285"/>
      <c r="E134" s="285"/>
      <c r="F134" s="285"/>
      <c r="G134" s="159" t="s">
        <v>119</v>
      </c>
      <c r="H134" s="131">
        <v>26</v>
      </c>
      <c r="I134" s="131"/>
      <c r="J134" s="155">
        <v>1</v>
      </c>
      <c r="K134" s="156">
        <f t="shared" si="14"/>
        <v>25</v>
      </c>
      <c r="L134" s="229"/>
    </row>
    <row r="135" spans="2:12" x14ac:dyDescent="0.25">
      <c r="B135" s="276"/>
      <c r="C135" s="151" t="s">
        <v>102</v>
      </c>
      <c r="D135" s="285"/>
      <c r="E135" s="285"/>
      <c r="F135" s="285"/>
      <c r="G135" s="159" t="s">
        <v>119</v>
      </c>
      <c r="H135" s="131">
        <v>35</v>
      </c>
      <c r="I135" s="131"/>
      <c r="J135" s="155">
        <v>1</v>
      </c>
      <c r="K135" s="156">
        <f t="shared" si="14"/>
        <v>34</v>
      </c>
      <c r="L135" s="229"/>
    </row>
    <row r="136" spans="2:12" x14ac:dyDescent="0.25">
      <c r="B136" s="276"/>
      <c r="C136" s="166" t="s">
        <v>115</v>
      </c>
      <c r="D136" s="285"/>
      <c r="E136" s="285"/>
      <c r="F136" s="285"/>
      <c r="G136" s="159" t="s">
        <v>119</v>
      </c>
      <c r="H136" s="131">
        <v>41</v>
      </c>
      <c r="I136" s="131"/>
      <c r="J136" s="155">
        <v>1</v>
      </c>
      <c r="K136" s="156">
        <f t="shared" si="14"/>
        <v>40</v>
      </c>
      <c r="L136" s="229"/>
    </row>
    <row r="137" spans="2:12" x14ac:dyDescent="0.25">
      <c r="B137" s="277"/>
      <c r="C137" s="166" t="s">
        <v>116</v>
      </c>
      <c r="D137" s="286"/>
      <c r="E137" s="286"/>
      <c r="F137" s="286"/>
      <c r="G137" s="159" t="s">
        <v>119</v>
      </c>
      <c r="H137" s="131">
        <v>40</v>
      </c>
      <c r="I137" s="131"/>
      <c r="J137" s="155">
        <v>1</v>
      </c>
      <c r="K137" s="156">
        <f t="shared" si="14"/>
        <v>39</v>
      </c>
      <c r="L137" s="229"/>
    </row>
    <row r="138" spans="2:12" x14ac:dyDescent="0.25">
      <c r="B138" s="275">
        <v>2</v>
      </c>
      <c r="C138" s="157" t="s">
        <v>54</v>
      </c>
      <c r="D138" s="281" t="s">
        <v>14</v>
      </c>
      <c r="E138" s="281" t="s">
        <v>1</v>
      </c>
      <c r="F138" s="281" t="s">
        <v>16</v>
      </c>
      <c r="G138" s="125" t="s">
        <v>15</v>
      </c>
      <c r="H138" s="158">
        <v>36</v>
      </c>
      <c r="I138" s="158"/>
      <c r="J138" s="127">
        <v>3</v>
      </c>
      <c r="K138" s="156">
        <v>33</v>
      </c>
      <c r="L138" s="229">
        <f>SUM(K138+K145+K152+K159+K166)</f>
        <v>129</v>
      </c>
    </row>
    <row r="139" spans="2:12" x14ac:dyDescent="0.25">
      <c r="B139" s="276"/>
      <c r="C139" s="151" t="s">
        <v>107</v>
      </c>
      <c r="D139" s="282"/>
      <c r="E139" s="282"/>
      <c r="F139" s="282"/>
      <c r="G139" s="159" t="s">
        <v>111</v>
      </c>
      <c r="H139" s="131">
        <v>31</v>
      </c>
      <c r="I139" s="131"/>
      <c r="J139" s="127">
        <v>3</v>
      </c>
      <c r="K139" s="156">
        <f t="shared" si="14"/>
        <v>28</v>
      </c>
      <c r="L139" s="229"/>
    </row>
    <row r="140" spans="2:12" x14ac:dyDescent="0.25">
      <c r="B140" s="276"/>
      <c r="C140" s="151" t="s">
        <v>95</v>
      </c>
      <c r="D140" s="282"/>
      <c r="E140" s="282"/>
      <c r="F140" s="282"/>
      <c r="G140" s="159" t="s">
        <v>111</v>
      </c>
      <c r="H140" s="131">
        <v>40</v>
      </c>
      <c r="I140" s="131"/>
      <c r="J140" s="127">
        <v>3</v>
      </c>
      <c r="K140" s="156">
        <f t="shared" si="14"/>
        <v>37</v>
      </c>
      <c r="L140" s="229"/>
    </row>
    <row r="141" spans="2:12" x14ac:dyDescent="0.25">
      <c r="B141" s="276"/>
      <c r="C141" s="151" t="s">
        <v>101</v>
      </c>
      <c r="D141" s="282"/>
      <c r="E141" s="282"/>
      <c r="F141" s="282"/>
      <c r="G141" s="159" t="s">
        <v>111</v>
      </c>
      <c r="H141" s="131">
        <v>36</v>
      </c>
      <c r="I141" s="131"/>
      <c r="J141" s="127">
        <v>3</v>
      </c>
      <c r="K141" s="156">
        <f t="shared" si="14"/>
        <v>33</v>
      </c>
      <c r="L141" s="229"/>
    </row>
    <row r="142" spans="2:12" x14ac:dyDescent="0.25">
      <c r="B142" s="276"/>
      <c r="C142" s="151" t="s">
        <v>102</v>
      </c>
      <c r="D142" s="282"/>
      <c r="E142" s="282"/>
      <c r="F142" s="282"/>
      <c r="G142" s="159" t="s">
        <v>111</v>
      </c>
      <c r="H142" s="131">
        <v>23</v>
      </c>
      <c r="I142" s="131"/>
      <c r="J142" s="127">
        <v>3</v>
      </c>
      <c r="K142" s="156">
        <f t="shared" si="14"/>
        <v>20</v>
      </c>
      <c r="L142" s="229"/>
    </row>
    <row r="143" spans="2:12" x14ac:dyDescent="0.25">
      <c r="B143" s="276"/>
      <c r="C143" s="166" t="s">
        <v>115</v>
      </c>
      <c r="D143" s="282"/>
      <c r="E143" s="282"/>
      <c r="F143" s="282"/>
      <c r="G143" s="159" t="s">
        <v>111</v>
      </c>
      <c r="H143" s="131">
        <v>36</v>
      </c>
      <c r="I143" s="131"/>
      <c r="J143" s="127">
        <v>3</v>
      </c>
      <c r="K143" s="156">
        <f t="shared" si="14"/>
        <v>33</v>
      </c>
      <c r="L143" s="229"/>
    </row>
    <row r="144" spans="2:12" x14ac:dyDescent="0.25">
      <c r="B144" s="277"/>
      <c r="C144" s="166" t="s">
        <v>116</v>
      </c>
      <c r="D144" s="283"/>
      <c r="E144" s="283"/>
      <c r="F144" s="283"/>
      <c r="G144" s="159" t="s">
        <v>111</v>
      </c>
      <c r="H144" s="131">
        <v>38</v>
      </c>
      <c r="I144" s="131"/>
      <c r="J144" s="127">
        <v>3</v>
      </c>
      <c r="K144" s="156">
        <f t="shared" si="14"/>
        <v>35</v>
      </c>
      <c r="L144" s="229"/>
    </row>
    <row r="145" spans="2:12" x14ac:dyDescent="0.25">
      <c r="B145" s="275">
        <v>2</v>
      </c>
      <c r="C145" s="157" t="s">
        <v>54</v>
      </c>
      <c r="D145" s="281" t="s">
        <v>14</v>
      </c>
      <c r="E145" s="281" t="s">
        <v>1</v>
      </c>
      <c r="F145" s="281" t="s">
        <v>16</v>
      </c>
      <c r="G145" s="125" t="s">
        <v>43</v>
      </c>
      <c r="H145" s="158">
        <v>20</v>
      </c>
      <c r="I145" s="158"/>
      <c r="J145" s="127">
        <v>2</v>
      </c>
      <c r="K145" s="156">
        <f t="shared" si="14"/>
        <v>18</v>
      </c>
      <c r="L145" s="229"/>
    </row>
    <row r="146" spans="2:12" x14ac:dyDescent="0.25">
      <c r="B146" s="276"/>
      <c r="C146" s="151" t="s">
        <v>107</v>
      </c>
      <c r="D146" s="282"/>
      <c r="E146" s="282"/>
      <c r="F146" s="282"/>
      <c r="G146" s="159" t="s">
        <v>120</v>
      </c>
      <c r="H146" s="131">
        <v>19</v>
      </c>
      <c r="I146" s="131"/>
      <c r="J146" s="127">
        <v>2</v>
      </c>
      <c r="K146" s="156">
        <f t="shared" si="14"/>
        <v>17</v>
      </c>
      <c r="L146" s="229"/>
    </row>
    <row r="147" spans="2:12" x14ac:dyDescent="0.25">
      <c r="B147" s="276"/>
      <c r="C147" s="151" t="s">
        <v>95</v>
      </c>
      <c r="D147" s="282"/>
      <c r="E147" s="282"/>
      <c r="F147" s="282"/>
      <c r="G147" s="159" t="s">
        <v>120</v>
      </c>
      <c r="H147" s="131">
        <v>20</v>
      </c>
      <c r="I147" s="131"/>
      <c r="J147" s="127">
        <v>2</v>
      </c>
      <c r="K147" s="156">
        <f t="shared" si="14"/>
        <v>18</v>
      </c>
      <c r="L147" s="229"/>
    </row>
    <row r="148" spans="2:12" x14ac:dyDescent="0.25">
      <c r="B148" s="276"/>
      <c r="C148" s="151" t="s">
        <v>101</v>
      </c>
      <c r="D148" s="282"/>
      <c r="E148" s="282"/>
      <c r="F148" s="282"/>
      <c r="G148" s="159" t="s">
        <v>120</v>
      </c>
      <c r="H148" s="131">
        <v>19</v>
      </c>
      <c r="I148" s="131"/>
      <c r="J148" s="127">
        <v>2</v>
      </c>
      <c r="K148" s="156">
        <f t="shared" si="14"/>
        <v>17</v>
      </c>
      <c r="L148" s="229"/>
    </row>
    <row r="149" spans="2:12" x14ac:dyDescent="0.25">
      <c r="B149" s="276"/>
      <c r="C149" s="151" t="s">
        <v>102</v>
      </c>
      <c r="D149" s="282"/>
      <c r="E149" s="282"/>
      <c r="F149" s="282"/>
      <c r="G149" s="159" t="s">
        <v>120</v>
      </c>
      <c r="H149" s="131">
        <v>21</v>
      </c>
      <c r="I149" s="131"/>
      <c r="J149" s="127">
        <v>2</v>
      </c>
      <c r="K149" s="156">
        <f t="shared" si="14"/>
        <v>19</v>
      </c>
      <c r="L149" s="229"/>
    </row>
    <row r="150" spans="2:12" x14ac:dyDescent="0.25">
      <c r="B150" s="276"/>
      <c r="C150" s="166" t="s">
        <v>115</v>
      </c>
      <c r="D150" s="282"/>
      <c r="E150" s="282"/>
      <c r="F150" s="282"/>
      <c r="G150" s="159" t="s">
        <v>120</v>
      </c>
      <c r="H150" s="131">
        <v>18</v>
      </c>
      <c r="I150" s="131"/>
      <c r="J150" s="127">
        <v>2</v>
      </c>
      <c r="K150" s="156">
        <f t="shared" si="14"/>
        <v>16</v>
      </c>
      <c r="L150" s="229"/>
    </row>
    <row r="151" spans="2:12" x14ac:dyDescent="0.25">
      <c r="B151" s="277"/>
      <c r="C151" s="166" t="s">
        <v>116</v>
      </c>
      <c r="D151" s="283"/>
      <c r="E151" s="283"/>
      <c r="F151" s="283"/>
      <c r="G151" s="159" t="s">
        <v>120</v>
      </c>
      <c r="H151" s="131">
        <v>30</v>
      </c>
      <c r="I151" s="131"/>
      <c r="J151" s="127">
        <v>2</v>
      </c>
      <c r="K151" s="156">
        <f t="shared" si="14"/>
        <v>28</v>
      </c>
      <c r="L151" s="229"/>
    </row>
    <row r="152" spans="2:12" x14ac:dyDescent="0.25">
      <c r="B152" s="275">
        <v>2</v>
      </c>
      <c r="C152" s="157" t="s">
        <v>54</v>
      </c>
      <c r="D152" s="281" t="s">
        <v>14</v>
      </c>
      <c r="E152" s="281" t="s">
        <v>1</v>
      </c>
      <c r="F152" s="281" t="s">
        <v>16</v>
      </c>
      <c r="G152" s="125" t="s">
        <v>48</v>
      </c>
      <c r="H152" s="158">
        <v>38</v>
      </c>
      <c r="I152" s="158"/>
      <c r="J152" s="127">
        <v>1</v>
      </c>
      <c r="K152" s="156">
        <f t="shared" si="14"/>
        <v>37</v>
      </c>
      <c r="L152" s="229"/>
    </row>
    <row r="153" spans="2:12" x14ac:dyDescent="0.25">
      <c r="B153" s="276"/>
      <c r="C153" s="151" t="s">
        <v>107</v>
      </c>
      <c r="D153" s="282"/>
      <c r="E153" s="282"/>
      <c r="F153" s="282"/>
      <c r="G153" s="159" t="s">
        <v>110</v>
      </c>
      <c r="H153" s="131">
        <v>38</v>
      </c>
      <c r="I153" s="131"/>
      <c r="J153" s="127">
        <v>1</v>
      </c>
      <c r="K153" s="156">
        <f t="shared" si="14"/>
        <v>37</v>
      </c>
      <c r="L153" s="229"/>
    </row>
    <row r="154" spans="2:12" x14ac:dyDescent="0.25">
      <c r="B154" s="276"/>
      <c r="C154" s="151" t="s">
        <v>95</v>
      </c>
      <c r="D154" s="282"/>
      <c r="E154" s="282"/>
      <c r="F154" s="282"/>
      <c r="G154" s="159" t="s">
        <v>110</v>
      </c>
      <c r="H154" s="131">
        <v>32</v>
      </c>
      <c r="I154" s="131"/>
      <c r="J154" s="127">
        <v>1</v>
      </c>
      <c r="K154" s="156">
        <f t="shared" si="14"/>
        <v>31</v>
      </c>
      <c r="L154" s="229"/>
    </row>
    <row r="155" spans="2:12" x14ac:dyDescent="0.25">
      <c r="B155" s="276"/>
      <c r="C155" s="151" t="s">
        <v>101</v>
      </c>
      <c r="D155" s="282"/>
      <c r="E155" s="282"/>
      <c r="F155" s="282"/>
      <c r="G155" s="159" t="s">
        <v>110</v>
      </c>
      <c r="H155" s="131">
        <v>38</v>
      </c>
      <c r="I155" s="131"/>
      <c r="J155" s="127">
        <v>1</v>
      </c>
      <c r="K155" s="156">
        <f t="shared" si="14"/>
        <v>37</v>
      </c>
      <c r="L155" s="229"/>
    </row>
    <row r="156" spans="2:12" x14ac:dyDescent="0.25">
      <c r="B156" s="276"/>
      <c r="C156" s="151" t="s">
        <v>102</v>
      </c>
      <c r="D156" s="282"/>
      <c r="E156" s="282"/>
      <c r="F156" s="282"/>
      <c r="G156" s="159" t="s">
        <v>110</v>
      </c>
      <c r="H156" s="131">
        <v>36</v>
      </c>
      <c r="I156" s="131"/>
      <c r="J156" s="127">
        <v>1</v>
      </c>
      <c r="K156" s="156">
        <f t="shared" si="14"/>
        <v>35</v>
      </c>
      <c r="L156" s="229"/>
    </row>
    <row r="157" spans="2:12" x14ac:dyDescent="0.25">
      <c r="B157" s="276"/>
      <c r="C157" s="166" t="s">
        <v>115</v>
      </c>
      <c r="D157" s="282"/>
      <c r="E157" s="282"/>
      <c r="F157" s="282"/>
      <c r="G157" s="159" t="s">
        <v>110</v>
      </c>
      <c r="H157" s="131">
        <v>38</v>
      </c>
      <c r="I157" s="131"/>
      <c r="J157" s="127">
        <v>1</v>
      </c>
      <c r="K157" s="156">
        <f t="shared" si="14"/>
        <v>37</v>
      </c>
      <c r="L157" s="229"/>
    </row>
    <row r="158" spans="2:12" x14ac:dyDescent="0.25">
      <c r="B158" s="277"/>
      <c r="C158" s="166" t="s">
        <v>116</v>
      </c>
      <c r="D158" s="283"/>
      <c r="E158" s="283"/>
      <c r="F158" s="283"/>
      <c r="G158" s="159" t="s">
        <v>110</v>
      </c>
      <c r="H158" s="131">
        <v>30</v>
      </c>
      <c r="I158" s="131"/>
      <c r="J158" s="127">
        <v>1</v>
      </c>
      <c r="K158" s="156">
        <f t="shared" si="14"/>
        <v>29</v>
      </c>
      <c r="L158" s="229"/>
    </row>
    <row r="159" spans="2:12" x14ac:dyDescent="0.25">
      <c r="B159" s="275">
        <v>2</v>
      </c>
      <c r="C159" s="157" t="s">
        <v>54</v>
      </c>
      <c r="D159" s="281" t="s">
        <v>14</v>
      </c>
      <c r="E159" s="281" t="s">
        <v>1</v>
      </c>
      <c r="F159" s="281" t="s">
        <v>16</v>
      </c>
      <c r="G159" s="125" t="s">
        <v>50</v>
      </c>
      <c r="H159" s="158">
        <v>18</v>
      </c>
      <c r="I159" s="158"/>
      <c r="J159" s="127">
        <v>0</v>
      </c>
      <c r="K159" s="156">
        <f t="shared" si="14"/>
        <v>18</v>
      </c>
      <c r="L159" s="229"/>
    </row>
    <row r="160" spans="2:12" x14ac:dyDescent="0.25">
      <c r="B160" s="276"/>
      <c r="C160" s="151" t="s">
        <v>107</v>
      </c>
      <c r="D160" s="282"/>
      <c r="E160" s="282"/>
      <c r="F160" s="282"/>
      <c r="G160" s="159" t="s">
        <v>121</v>
      </c>
      <c r="H160" s="131">
        <v>23</v>
      </c>
      <c r="I160" s="131"/>
      <c r="J160" s="127">
        <v>0</v>
      </c>
      <c r="K160" s="156">
        <f t="shared" si="14"/>
        <v>23</v>
      </c>
      <c r="L160" s="229"/>
    </row>
    <row r="161" spans="2:12" x14ac:dyDescent="0.25">
      <c r="B161" s="276"/>
      <c r="C161" s="151" t="s">
        <v>95</v>
      </c>
      <c r="D161" s="282"/>
      <c r="E161" s="282"/>
      <c r="F161" s="282"/>
      <c r="G161" s="159" t="s">
        <v>121</v>
      </c>
      <c r="H161" s="131">
        <v>18</v>
      </c>
      <c r="I161" s="131"/>
      <c r="J161" s="127">
        <v>0</v>
      </c>
      <c r="K161" s="156">
        <f t="shared" si="14"/>
        <v>18</v>
      </c>
      <c r="L161" s="229"/>
    </row>
    <row r="162" spans="2:12" x14ac:dyDescent="0.25">
      <c r="B162" s="276"/>
      <c r="C162" s="151" t="s">
        <v>101</v>
      </c>
      <c r="D162" s="282"/>
      <c r="E162" s="282"/>
      <c r="F162" s="282"/>
      <c r="G162" s="159" t="s">
        <v>121</v>
      </c>
      <c r="H162" s="131">
        <v>18</v>
      </c>
      <c r="I162" s="131"/>
      <c r="J162" s="127">
        <v>0</v>
      </c>
      <c r="K162" s="156">
        <f t="shared" si="14"/>
        <v>18</v>
      </c>
      <c r="L162" s="229"/>
    </row>
    <row r="163" spans="2:12" x14ac:dyDescent="0.25">
      <c r="B163" s="276"/>
      <c r="C163" s="151" t="s">
        <v>102</v>
      </c>
      <c r="D163" s="282"/>
      <c r="E163" s="282"/>
      <c r="F163" s="282"/>
      <c r="G163" s="159" t="s">
        <v>121</v>
      </c>
      <c r="H163" s="131">
        <v>31</v>
      </c>
      <c r="I163" s="131"/>
      <c r="J163" s="127">
        <v>0</v>
      </c>
      <c r="K163" s="156">
        <f t="shared" si="14"/>
        <v>31</v>
      </c>
      <c r="L163" s="229"/>
    </row>
    <row r="164" spans="2:12" x14ac:dyDescent="0.25">
      <c r="B164" s="276"/>
      <c r="C164" s="166" t="s">
        <v>115</v>
      </c>
      <c r="D164" s="282"/>
      <c r="E164" s="282"/>
      <c r="F164" s="282"/>
      <c r="G164" s="159" t="s">
        <v>121</v>
      </c>
      <c r="H164" s="131">
        <v>18</v>
      </c>
      <c r="I164" s="131"/>
      <c r="J164" s="127">
        <v>0</v>
      </c>
      <c r="K164" s="156">
        <f t="shared" si="14"/>
        <v>18</v>
      </c>
      <c r="L164" s="229"/>
    </row>
    <row r="165" spans="2:12" x14ac:dyDescent="0.25">
      <c r="B165" s="277"/>
      <c r="C165" s="166" t="s">
        <v>116</v>
      </c>
      <c r="D165" s="283"/>
      <c r="E165" s="283"/>
      <c r="F165" s="283"/>
      <c r="G165" s="159" t="s">
        <v>121</v>
      </c>
      <c r="H165" s="131">
        <v>11</v>
      </c>
      <c r="I165" s="131"/>
      <c r="J165" s="127">
        <v>0</v>
      </c>
      <c r="K165" s="156">
        <f t="shared" si="14"/>
        <v>11</v>
      </c>
      <c r="L165" s="229"/>
    </row>
    <row r="166" spans="2:12" x14ac:dyDescent="0.25">
      <c r="B166" s="275">
        <v>2</v>
      </c>
      <c r="C166" s="157" t="s">
        <v>54</v>
      </c>
      <c r="D166" s="281" t="s">
        <v>14</v>
      </c>
      <c r="E166" s="281" t="s">
        <v>1</v>
      </c>
      <c r="F166" s="281" t="s">
        <v>25</v>
      </c>
      <c r="G166" s="125" t="s">
        <v>52</v>
      </c>
      <c r="H166" s="158">
        <v>24</v>
      </c>
      <c r="I166" s="158"/>
      <c r="J166" s="127">
        <v>1</v>
      </c>
      <c r="K166" s="156">
        <f t="shared" si="14"/>
        <v>23</v>
      </c>
      <c r="L166" s="229"/>
    </row>
    <row r="167" spans="2:12" x14ac:dyDescent="0.25">
      <c r="B167" s="276"/>
      <c r="C167" s="151" t="s">
        <v>107</v>
      </c>
      <c r="D167" s="282"/>
      <c r="E167" s="282"/>
      <c r="F167" s="282"/>
      <c r="G167" s="159" t="s">
        <v>122</v>
      </c>
      <c r="H167" s="131">
        <v>34</v>
      </c>
      <c r="I167" s="131"/>
      <c r="J167" s="127">
        <v>1</v>
      </c>
      <c r="K167" s="156">
        <f t="shared" si="14"/>
        <v>33</v>
      </c>
      <c r="L167" s="229"/>
    </row>
    <row r="168" spans="2:12" x14ac:dyDescent="0.25">
      <c r="B168" s="276"/>
      <c r="C168" s="151" t="s">
        <v>95</v>
      </c>
      <c r="D168" s="282"/>
      <c r="E168" s="282"/>
      <c r="F168" s="282"/>
      <c r="G168" s="159" t="s">
        <v>122</v>
      </c>
      <c r="H168" s="131">
        <v>23</v>
      </c>
      <c r="I168" s="131"/>
      <c r="J168" s="127">
        <v>1</v>
      </c>
      <c r="K168" s="156">
        <f t="shared" si="14"/>
        <v>22</v>
      </c>
      <c r="L168" s="229"/>
    </row>
    <row r="169" spans="2:12" x14ac:dyDescent="0.25">
      <c r="B169" s="276"/>
      <c r="C169" s="151" t="s">
        <v>101</v>
      </c>
      <c r="D169" s="282"/>
      <c r="E169" s="282"/>
      <c r="F169" s="282"/>
      <c r="G169" s="159" t="s">
        <v>122</v>
      </c>
      <c r="H169" s="131">
        <v>24</v>
      </c>
      <c r="I169" s="131"/>
      <c r="J169" s="127">
        <v>1</v>
      </c>
      <c r="K169" s="156">
        <f t="shared" si="14"/>
        <v>23</v>
      </c>
      <c r="L169" s="229"/>
    </row>
    <row r="170" spans="2:12" x14ac:dyDescent="0.25">
      <c r="B170" s="276"/>
      <c r="C170" s="151" t="s">
        <v>102</v>
      </c>
      <c r="D170" s="282"/>
      <c r="E170" s="282"/>
      <c r="F170" s="282"/>
      <c r="G170" s="159" t="s">
        <v>122</v>
      </c>
      <c r="H170" s="131">
        <v>24</v>
      </c>
      <c r="I170" s="131"/>
      <c r="J170" s="127">
        <v>1</v>
      </c>
      <c r="K170" s="156">
        <f t="shared" si="14"/>
        <v>23</v>
      </c>
      <c r="L170" s="229"/>
    </row>
    <row r="171" spans="2:12" x14ac:dyDescent="0.25">
      <c r="B171" s="276"/>
      <c r="C171" s="166" t="s">
        <v>115</v>
      </c>
      <c r="D171" s="282"/>
      <c r="E171" s="282"/>
      <c r="F171" s="282"/>
      <c r="G171" s="159" t="s">
        <v>122</v>
      </c>
      <c r="H171" s="131">
        <v>24</v>
      </c>
      <c r="I171" s="131"/>
      <c r="J171" s="127">
        <v>1</v>
      </c>
      <c r="K171" s="156">
        <f t="shared" si="14"/>
        <v>23</v>
      </c>
      <c r="L171" s="229"/>
    </row>
    <row r="172" spans="2:12" x14ac:dyDescent="0.25">
      <c r="B172" s="277"/>
      <c r="C172" s="166" t="s">
        <v>116</v>
      </c>
      <c r="D172" s="283"/>
      <c r="E172" s="283"/>
      <c r="F172" s="283"/>
      <c r="G172" s="159" t="s">
        <v>122</v>
      </c>
      <c r="H172" s="131">
        <v>24</v>
      </c>
      <c r="I172" s="131"/>
      <c r="J172" s="127">
        <v>1</v>
      </c>
      <c r="K172" s="156">
        <f t="shared" si="14"/>
        <v>23</v>
      </c>
      <c r="L172" s="229"/>
    </row>
    <row r="173" spans="2:12" x14ac:dyDescent="0.25">
      <c r="B173" s="275">
        <v>2</v>
      </c>
      <c r="C173" s="168" t="s">
        <v>54</v>
      </c>
      <c r="D173" s="272" t="s">
        <v>14</v>
      </c>
      <c r="E173" s="272" t="s">
        <v>17</v>
      </c>
      <c r="F173" s="272" t="s">
        <v>16</v>
      </c>
      <c r="G173" s="161" t="s">
        <v>15</v>
      </c>
      <c r="H173" s="162">
        <v>36</v>
      </c>
      <c r="I173" s="162"/>
      <c r="J173" s="163"/>
      <c r="K173" s="156">
        <f t="shared" si="14"/>
        <v>36</v>
      </c>
    </row>
    <row r="174" spans="2:12" x14ac:dyDescent="0.25">
      <c r="B174" s="276"/>
      <c r="C174" s="151" t="s">
        <v>107</v>
      </c>
      <c r="D174" s="273"/>
      <c r="E174" s="273"/>
      <c r="F174" s="273"/>
      <c r="G174" s="159" t="s">
        <v>112</v>
      </c>
      <c r="H174" s="131">
        <v>36</v>
      </c>
      <c r="I174" s="131"/>
      <c r="J174" s="163">
        <v>0</v>
      </c>
      <c r="K174" s="156">
        <f t="shared" si="14"/>
        <v>36</v>
      </c>
    </row>
    <row r="175" spans="2:12" x14ac:dyDescent="0.25">
      <c r="B175" s="276"/>
      <c r="C175" s="151" t="s">
        <v>95</v>
      </c>
      <c r="D175" s="273"/>
      <c r="E175" s="273"/>
      <c r="F175" s="273"/>
      <c r="G175" s="159" t="s">
        <v>112</v>
      </c>
      <c r="H175" s="131">
        <v>36</v>
      </c>
      <c r="I175" s="131"/>
      <c r="J175" s="163">
        <v>0</v>
      </c>
      <c r="K175" s="156">
        <f t="shared" si="14"/>
        <v>36</v>
      </c>
    </row>
    <row r="176" spans="2:12" x14ac:dyDescent="0.25">
      <c r="B176" s="276"/>
      <c r="C176" s="151" t="s">
        <v>101</v>
      </c>
      <c r="D176" s="273"/>
      <c r="E176" s="273"/>
      <c r="F176" s="273"/>
      <c r="G176" s="159" t="s">
        <v>112</v>
      </c>
      <c r="H176" s="131">
        <v>37</v>
      </c>
      <c r="I176" s="131"/>
      <c r="J176" s="163">
        <v>0</v>
      </c>
      <c r="K176" s="156">
        <f t="shared" si="14"/>
        <v>37</v>
      </c>
    </row>
    <row r="177" spans="2:11" x14ac:dyDescent="0.25">
      <c r="B177" s="276"/>
      <c r="C177" s="151" t="s">
        <v>102</v>
      </c>
      <c r="D177" s="273"/>
      <c r="E177" s="273"/>
      <c r="F177" s="273"/>
      <c r="G177" s="159" t="s">
        <v>112</v>
      </c>
      <c r="H177" s="131">
        <v>36</v>
      </c>
      <c r="I177" s="131"/>
      <c r="J177" s="163">
        <v>0</v>
      </c>
      <c r="K177" s="156">
        <f t="shared" si="14"/>
        <v>36</v>
      </c>
    </row>
    <row r="178" spans="2:11" x14ac:dyDescent="0.25">
      <c r="B178" s="276"/>
      <c r="C178" s="166" t="s">
        <v>115</v>
      </c>
      <c r="D178" s="273"/>
      <c r="E178" s="273"/>
      <c r="F178" s="273"/>
      <c r="G178" s="159" t="s">
        <v>112</v>
      </c>
      <c r="H178" s="131">
        <v>33</v>
      </c>
      <c r="I178" s="131"/>
      <c r="J178" s="163">
        <v>0</v>
      </c>
      <c r="K178" s="156">
        <f t="shared" si="14"/>
        <v>33</v>
      </c>
    </row>
    <row r="179" spans="2:11" x14ac:dyDescent="0.25">
      <c r="B179" s="277"/>
      <c r="C179" s="166" t="s">
        <v>116</v>
      </c>
      <c r="D179" s="274"/>
      <c r="E179" s="274"/>
      <c r="F179" s="274"/>
      <c r="G179" s="159" t="s">
        <v>112</v>
      </c>
      <c r="H179" s="131">
        <v>27</v>
      </c>
      <c r="I179" s="131"/>
      <c r="J179" s="163">
        <v>0</v>
      </c>
      <c r="K179" s="156">
        <f t="shared" si="14"/>
        <v>27</v>
      </c>
    </row>
    <row r="180" spans="2:11" x14ac:dyDescent="0.25">
      <c r="B180" s="275">
        <v>2</v>
      </c>
      <c r="C180" s="160" t="s">
        <v>54</v>
      </c>
      <c r="D180" s="272" t="s">
        <v>14</v>
      </c>
      <c r="E180" s="272" t="s">
        <v>17</v>
      </c>
      <c r="F180" s="272" t="s">
        <v>16</v>
      </c>
      <c r="G180" s="161" t="s">
        <v>43</v>
      </c>
      <c r="H180" s="131">
        <v>36</v>
      </c>
      <c r="I180" s="131"/>
      <c r="J180" s="163"/>
      <c r="K180" s="156">
        <f t="shared" si="14"/>
        <v>36</v>
      </c>
    </row>
    <row r="181" spans="2:11" x14ac:dyDescent="0.25">
      <c r="B181" s="276"/>
      <c r="C181" s="151" t="s">
        <v>107</v>
      </c>
      <c r="D181" s="273"/>
      <c r="E181" s="273"/>
      <c r="F181" s="273"/>
      <c r="G181" s="130" t="s">
        <v>113</v>
      </c>
      <c r="H181" s="131">
        <v>25</v>
      </c>
      <c r="I181" s="131"/>
      <c r="J181" s="163">
        <v>0</v>
      </c>
      <c r="K181" s="156">
        <f t="shared" si="14"/>
        <v>25</v>
      </c>
    </row>
    <row r="182" spans="2:11" x14ac:dyDescent="0.25">
      <c r="B182" s="276"/>
      <c r="C182" s="151" t="s">
        <v>95</v>
      </c>
      <c r="D182" s="273"/>
      <c r="E182" s="273"/>
      <c r="F182" s="273"/>
      <c r="G182" s="130" t="s">
        <v>113</v>
      </c>
      <c r="H182" s="131">
        <v>38</v>
      </c>
      <c r="I182" s="131"/>
      <c r="J182" s="163">
        <v>0</v>
      </c>
      <c r="K182" s="156">
        <f t="shared" si="14"/>
        <v>38</v>
      </c>
    </row>
    <row r="183" spans="2:11" x14ac:dyDescent="0.25">
      <c r="B183" s="276"/>
      <c r="C183" s="151" t="s">
        <v>101</v>
      </c>
      <c r="D183" s="273"/>
      <c r="E183" s="273"/>
      <c r="F183" s="273"/>
      <c r="G183" s="130" t="s">
        <v>113</v>
      </c>
      <c r="H183" s="131">
        <v>36</v>
      </c>
      <c r="I183" s="131"/>
      <c r="J183" s="163">
        <v>0</v>
      </c>
      <c r="K183" s="156">
        <f t="shared" si="14"/>
        <v>36</v>
      </c>
    </row>
    <row r="184" spans="2:11" x14ac:dyDescent="0.25">
      <c r="B184" s="276"/>
      <c r="C184" s="151" t="s">
        <v>102</v>
      </c>
      <c r="D184" s="273"/>
      <c r="E184" s="273"/>
      <c r="F184" s="273"/>
      <c r="G184" s="130" t="s">
        <v>113</v>
      </c>
      <c r="H184" s="131">
        <v>38</v>
      </c>
      <c r="I184" s="131"/>
      <c r="J184" s="163">
        <v>0</v>
      </c>
      <c r="K184" s="156">
        <f t="shared" si="14"/>
        <v>38</v>
      </c>
    </row>
    <row r="185" spans="2:11" x14ac:dyDescent="0.25">
      <c r="B185" s="276"/>
      <c r="C185" s="166" t="s">
        <v>115</v>
      </c>
      <c r="D185" s="273"/>
      <c r="E185" s="273"/>
      <c r="F185" s="273"/>
      <c r="G185" s="130" t="s">
        <v>113</v>
      </c>
      <c r="H185" s="131">
        <v>37</v>
      </c>
      <c r="I185" s="131"/>
      <c r="J185" s="163">
        <v>0</v>
      </c>
      <c r="K185" s="156">
        <f t="shared" si="14"/>
        <v>37</v>
      </c>
    </row>
    <row r="186" spans="2:11" x14ac:dyDescent="0.25">
      <c r="B186" s="277"/>
      <c r="C186" s="166" t="s">
        <v>116</v>
      </c>
      <c r="D186" s="274"/>
      <c r="E186" s="274"/>
      <c r="F186" s="274"/>
      <c r="G186" s="130" t="s">
        <v>113</v>
      </c>
      <c r="H186" s="131">
        <v>32</v>
      </c>
      <c r="I186" s="131"/>
      <c r="J186" s="163">
        <v>0</v>
      </c>
      <c r="K186" s="156">
        <f t="shared" si="14"/>
        <v>32</v>
      </c>
    </row>
    <row r="187" spans="2:11" x14ac:dyDescent="0.25">
      <c r="B187" s="275">
        <v>2</v>
      </c>
      <c r="C187" s="160" t="s">
        <v>54</v>
      </c>
      <c r="D187" s="272" t="s">
        <v>14</v>
      </c>
      <c r="E187" s="272" t="s">
        <v>17</v>
      </c>
      <c r="F187" s="272" t="s">
        <v>16</v>
      </c>
      <c r="G187" s="161" t="s">
        <v>48</v>
      </c>
      <c r="H187" s="162">
        <v>24</v>
      </c>
      <c r="I187" s="162"/>
      <c r="J187" s="163"/>
      <c r="K187" s="156">
        <f t="shared" si="14"/>
        <v>24</v>
      </c>
    </row>
    <row r="188" spans="2:11" x14ac:dyDescent="0.25">
      <c r="B188" s="276"/>
      <c r="C188" s="151" t="s">
        <v>107</v>
      </c>
      <c r="D188" s="273"/>
      <c r="E188" s="273"/>
      <c r="F188" s="273"/>
      <c r="G188" s="159" t="s">
        <v>123</v>
      </c>
      <c r="H188" s="131">
        <v>36</v>
      </c>
      <c r="I188" s="131"/>
      <c r="J188" s="163">
        <v>0</v>
      </c>
      <c r="K188" s="156">
        <f t="shared" si="14"/>
        <v>36</v>
      </c>
    </row>
    <row r="189" spans="2:11" x14ac:dyDescent="0.25">
      <c r="B189" s="276"/>
      <c r="C189" s="151" t="s">
        <v>95</v>
      </c>
      <c r="D189" s="273"/>
      <c r="E189" s="273"/>
      <c r="F189" s="273"/>
      <c r="G189" s="159" t="s">
        <v>123</v>
      </c>
      <c r="H189" s="131">
        <v>27</v>
      </c>
      <c r="I189" s="131"/>
      <c r="J189" s="163">
        <v>0</v>
      </c>
      <c r="K189" s="156">
        <f t="shared" si="14"/>
        <v>27</v>
      </c>
    </row>
    <row r="190" spans="2:11" x14ac:dyDescent="0.25">
      <c r="B190" s="276"/>
      <c r="C190" s="151" t="s">
        <v>101</v>
      </c>
      <c r="D190" s="273"/>
      <c r="E190" s="273"/>
      <c r="F190" s="273"/>
      <c r="G190" s="159" t="s">
        <v>123</v>
      </c>
      <c r="H190" s="131">
        <v>24</v>
      </c>
      <c r="I190" s="131"/>
      <c r="J190" s="163">
        <v>0</v>
      </c>
      <c r="K190" s="156">
        <f t="shared" si="14"/>
        <v>24</v>
      </c>
    </row>
    <row r="191" spans="2:11" x14ac:dyDescent="0.25">
      <c r="B191" s="276"/>
      <c r="C191" s="151" t="s">
        <v>102</v>
      </c>
      <c r="D191" s="273"/>
      <c r="E191" s="273"/>
      <c r="F191" s="273"/>
      <c r="G191" s="159" t="s">
        <v>123</v>
      </c>
      <c r="H191" s="131">
        <v>15</v>
      </c>
      <c r="I191" s="131"/>
      <c r="J191" s="163">
        <v>0</v>
      </c>
      <c r="K191" s="156">
        <f t="shared" si="14"/>
        <v>15</v>
      </c>
    </row>
    <row r="192" spans="2:11" x14ac:dyDescent="0.25">
      <c r="B192" s="276"/>
      <c r="C192" s="166" t="s">
        <v>115</v>
      </c>
      <c r="D192" s="273"/>
      <c r="E192" s="273"/>
      <c r="F192" s="273"/>
      <c r="G192" s="159" t="s">
        <v>123</v>
      </c>
      <c r="H192" s="131">
        <v>18</v>
      </c>
      <c r="I192" s="131"/>
      <c r="J192" s="163">
        <v>0</v>
      </c>
      <c r="K192" s="156">
        <f t="shared" si="14"/>
        <v>18</v>
      </c>
    </row>
    <row r="193" spans="2:11" x14ac:dyDescent="0.25">
      <c r="B193" s="277"/>
      <c r="C193" s="166" t="s">
        <v>116</v>
      </c>
      <c r="D193" s="274"/>
      <c r="E193" s="274"/>
      <c r="F193" s="274"/>
      <c r="G193" s="159" t="s">
        <v>123</v>
      </c>
      <c r="H193" s="131">
        <v>33</v>
      </c>
      <c r="I193" s="131"/>
      <c r="J193" s="163">
        <v>0</v>
      </c>
      <c r="K193" s="156">
        <f t="shared" si="14"/>
        <v>33</v>
      </c>
    </row>
    <row r="194" spans="2:11" x14ac:dyDescent="0.25">
      <c r="B194" s="275">
        <v>2</v>
      </c>
      <c r="C194" s="160" t="s">
        <v>54</v>
      </c>
      <c r="D194" s="272" t="s">
        <v>14</v>
      </c>
      <c r="E194" s="272" t="s">
        <v>17</v>
      </c>
      <c r="F194" s="272" t="s">
        <v>16</v>
      </c>
      <c r="G194" s="161" t="s">
        <v>50</v>
      </c>
      <c r="H194" s="162">
        <v>29</v>
      </c>
      <c r="I194" s="162"/>
      <c r="J194" s="163"/>
      <c r="K194" s="156">
        <f t="shared" si="14"/>
        <v>29</v>
      </c>
    </row>
    <row r="195" spans="2:11" x14ac:dyDescent="0.25">
      <c r="B195" s="276"/>
      <c r="C195" s="166" t="s">
        <v>124</v>
      </c>
      <c r="D195" s="273"/>
      <c r="E195" s="273"/>
      <c r="F195" s="273"/>
      <c r="G195" s="159" t="s">
        <v>125</v>
      </c>
      <c r="H195" s="131">
        <v>34</v>
      </c>
      <c r="I195" s="131"/>
      <c r="J195" s="163">
        <v>0</v>
      </c>
      <c r="K195" s="156">
        <f t="shared" si="14"/>
        <v>34</v>
      </c>
    </row>
    <row r="196" spans="2:11" x14ac:dyDescent="0.25">
      <c r="B196" s="276"/>
      <c r="C196" s="166" t="s">
        <v>126</v>
      </c>
      <c r="D196" s="273"/>
      <c r="E196" s="273"/>
      <c r="F196" s="273"/>
      <c r="G196" s="159" t="s">
        <v>125</v>
      </c>
      <c r="H196" s="131">
        <v>30</v>
      </c>
      <c r="I196" s="131"/>
      <c r="J196" s="163">
        <v>0</v>
      </c>
      <c r="K196" s="156">
        <f t="shared" si="14"/>
        <v>30</v>
      </c>
    </row>
    <row r="197" spans="2:11" x14ac:dyDescent="0.25">
      <c r="B197" s="276"/>
      <c r="C197" s="166" t="s">
        <v>127</v>
      </c>
      <c r="D197" s="273"/>
      <c r="E197" s="273"/>
      <c r="F197" s="273"/>
      <c r="G197" s="159" t="s">
        <v>125</v>
      </c>
      <c r="H197" s="131">
        <v>29</v>
      </c>
      <c r="I197" s="131"/>
      <c r="J197" s="163">
        <v>0</v>
      </c>
      <c r="K197" s="156">
        <f t="shared" ref="K197:K260" si="15">H197-J197</f>
        <v>29</v>
      </c>
    </row>
    <row r="198" spans="2:11" x14ac:dyDescent="0.25">
      <c r="B198" s="276"/>
      <c r="C198" s="166" t="s">
        <v>128</v>
      </c>
      <c r="D198" s="273"/>
      <c r="E198" s="273"/>
      <c r="F198" s="273"/>
      <c r="G198" s="159" t="s">
        <v>125</v>
      </c>
      <c r="H198" s="131">
        <v>37</v>
      </c>
      <c r="I198" s="131"/>
      <c r="J198" s="163">
        <v>0</v>
      </c>
      <c r="K198" s="156">
        <f t="shared" si="15"/>
        <v>37</v>
      </c>
    </row>
    <row r="199" spans="2:11" x14ac:dyDescent="0.25">
      <c r="B199" s="276"/>
      <c r="C199" s="166" t="s">
        <v>115</v>
      </c>
      <c r="D199" s="273"/>
      <c r="E199" s="273"/>
      <c r="F199" s="273"/>
      <c r="G199" s="159" t="s">
        <v>125</v>
      </c>
      <c r="H199" s="131">
        <v>31</v>
      </c>
      <c r="I199" s="131"/>
      <c r="J199" s="163">
        <v>0</v>
      </c>
      <c r="K199" s="156">
        <f t="shared" si="15"/>
        <v>31</v>
      </c>
    </row>
    <row r="200" spans="2:11" x14ac:dyDescent="0.25">
      <c r="B200" s="277"/>
      <c r="C200" s="166" t="s">
        <v>116</v>
      </c>
      <c r="D200" s="274"/>
      <c r="E200" s="274"/>
      <c r="F200" s="274"/>
      <c r="G200" s="159" t="s">
        <v>125</v>
      </c>
      <c r="H200" s="131">
        <v>36</v>
      </c>
      <c r="I200" s="131"/>
      <c r="J200" s="163">
        <v>0</v>
      </c>
      <c r="K200" s="156">
        <f t="shared" si="15"/>
        <v>36</v>
      </c>
    </row>
    <row r="201" spans="2:11" x14ac:dyDescent="0.25">
      <c r="B201" s="275">
        <v>2</v>
      </c>
      <c r="C201" s="160" t="s">
        <v>54</v>
      </c>
      <c r="D201" s="272" t="s">
        <v>14</v>
      </c>
      <c r="E201" s="272" t="s">
        <v>17</v>
      </c>
      <c r="F201" s="272" t="s">
        <v>16</v>
      </c>
      <c r="G201" s="161" t="s">
        <v>52</v>
      </c>
      <c r="H201" s="162">
        <v>35</v>
      </c>
      <c r="I201" s="162"/>
      <c r="J201" s="163">
        <v>1</v>
      </c>
      <c r="K201" s="156">
        <f t="shared" si="15"/>
        <v>34</v>
      </c>
    </row>
    <row r="202" spans="2:11" x14ac:dyDescent="0.25">
      <c r="B202" s="276"/>
      <c r="C202" s="166" t="s">
        <v>124</v>
      </c>
      <c r="D202" s="273"/>
      <c r="E202" s="273"/>
      <c r="F202" s="273"/>
      <c r="G202" s="159" t="s">
        <v>129</v>
      </c>
      <c r="H202" s="131">
        <v>34</v>
      </c>
      <c r="I202" s="131"/>
      <c r="J202" s="163">
        <v>1</v>
      </c>
      <c r="K202" s="156">
        <f t="shared" si="15"/>
        <v>33</v>
      </c>
    </row>
    <row r="203" spans="2:11" x14ac:dyDescent="0.25">
      <c r="B203" s="276"/>
      <c r="C203" s="166" t="s">
        <v>126</v>
      </c>
      <c r="D203" s="273"/>
      <c r="E203" s="273"/>
      <c r="F203" s="273"/>
      <c r="G203" s="159" t="s">
        <v>129</v>
      </c>
      <c r="H203" s="131">
        <v>32</v>
      </c>
      <c r="I203" s="131"/>
      <c r="J203" s="163">
        <v>1</v>
      </c>
      <c r="K203" s="156">
        <f t="shared" si="15"/>
        <v>31</v>
      </c>
    </row>
    <row r="204" spans="2:11" x14ac:dyDescent="0.25">
      <c r="B204" s="276"/>
      <c r="C204" s="166" t="s">
        <v>127</v>
      </c>
      <c r="D204" s="273"/>
      <c r="E204" s="273"/>
      <c r="F204" s="273"/>
      <c r="G204" s="159" t="s">
        <v>129</v>
      </c>
      <c r="H204" s="131">
        <v>32</v>
      </c>
      <c r="I204" s="131"/>
      <c r="J204" s="163">
        <v>1</v>
      </c>
      <c r="K204" s="156">
        <f t="shared" si="15"/>
        <v>31</v>
      </c>
    </row>
    <row r="205" spans="2:11" x14ac:dyDescent="0.25">
      <c r="B205" s="276"/>
      <c r="C205" s="166" t="s">
        <v>128</v>
      </c>
      <c r="D205" s="273"/>
      <c r="E205" s="273"/>
      <c r="F205" s="273"/>
      <c r="G205" s="159" t="s">
        <v>129</v>
      </c>
      <c r="H205" s="131">
        <v>29</v>
      </c>
      <c r="I205" s="131"/>
      <c r="J205" s="163">
        <v>1</v>
      </c>
      <c r="K205" s="156">
        <f t="shared" si="15"/>
        <v>28</v>
      </c>
    </row>
    <row r="206" spans="2:11" x14ac:dyDescent="0.25">
      <c r="B206" s="276"/>
      <c r="C206" s="166" t="s">
        <v>115</v>
      </c>
      <c r="D206" s="273"/>
      <c r="E206" s="273"/>
      <c r="F206" s="273"/>
      <c r="G206" s="159" t="s">
        <v>129</v>
      </c>
      <c r="H206" s="131">
        <v>32</v>
      </c>
      <c r="I206" s="131"/>
      <c r="J206" s="163">
        <v>1</v>
      </c>
      <c r="K206" s="156">
        <f t="shared" si="15"/>
        <v>31</v>
      </c>
    </row>
    <row r="207" spans="2:11" x14ac:dyDescent="0.25">
      <c r="B207" s="277"/>
      <c r="C207" s="166" t="s">
        <v>116</v>
      </c>
      <c r="D207" s="274"/>
      <c r="E207" s="274"/>
      <c r="F207" s="274"/>
      <c r="G207" s="159" t="s">
        <v>129</v>
      </c>
      <c r="H207" s="131">
        <v>33</v>
      </c>
      <c r="I207" s="131"/>
      <c r="J207" s="163">
        <v>1</v>
      </c>
      <c r="K207" s="156">
        <f t="shared" si="15"/>
        <v>32</v>
      </c>
    </row>
    <row r="208" spans="2:11" x14ac:dyDescent="0.25">
      <c r="B208" s="275">
        <v>2</v>
      </c>
      <c r="C208" s="160" t="s">
        <v>54</v>
      </c>
      <c r="D208" s="272" t="s">
        <v>14</v>
      </c>
      <c r="E208" s="272" t="s">
        <v>17</v>
      </c>
      <c r="F208" s="333" t="s">
        <v>25</v>
      </c>
      <c r="G208" s="161" t="s">
        <v>130</v>
      </c>
      <c r="H208" s="162">
        <v>46</v>
      </c>
      <c r="I208" s="162"/>
      <c r="J208" s="163">
        <v>0</v>
      </c>
      <c r="K208" s="156">
        <f t="shared" si="15"/>
        <v>46</v>
      </c>
    </row>
    <row r="209" spans="2:11" x14ac:dyDescent="0.25">
      <c r="B209" s="276"/>
      <c r="C209" s="151" t="s">
        <v>115</v>
      </c>
      <c r="D209" s="273"/>
      <c r="E209" s="273"/>
      <c r="F209" s="334"/>
      <c r="G209" s="159" t="s">
        <v>131</v>
      </c>
      <c r="H209" s="131">
        <v>46</v>
      </c>
      <c r="I209" s="131"/>
      <c r="J209" s="163">
        <v>0</v>
      </c>
      <c r="K209" s="156">
        <f t="shared" si="15"/>
        <v>46</v>
      </c>
    </row>
    <row r="210" spans="2:11" x14ac:dyDescent="0.25">
      <c r="B210" s="276"/>
      <c r="C210" s="151" t="s">
        <v>115</v>
      </c>
      <c r="D210" s="273"/>
      <c r="E210" s="273"/>
      <c r="F210" s="334"/>
      <c r="G210" s="159" t="s">
        <v>132</v>
      </c>
      <c r="H210" s="131">
        <v>43</v>
      </c>
      <c r="I210" s="131"/>
      <c r="J210" s="163">
        <v>0</v>
      </c>
      <c r="K210" s="156">
        <f t="shared" si="15"/>
        <v>43</v>
      </c>
    </row>
    <row r="211" spans="2:11" x14ac:dyDescent="0.25">
      <c r="B211" s="277"/>
      <c r="C211" s="151" t="s">
        <v>115</v>
      </c>
      <c r="D211" s="274"/>
      <c r="E211" s="274"/>
      <c r="F211" s="335"/>
      <c r="G211" s="159" t="s">
        <v>133</v>
      </c>
      <c r="H211" s="131">
        <v>24</v>
      </c>
      <c r="I211" s="131"/>
      <c r="J211" s="163">
        <v>0</v>
      </c>
      <c r="K211" s="156">
        <f t="shared" si="15"/>
        <v>24</v>
      </c>
    </row>
    <row r="212" spans="2:11" x14ac:dyDescent="0.25">
      <c r="B212" s="275">
        <v>2</v>
      </c>
      <c r="C212" s="169" t="s">
        <v>58</v>
      </c>
      <c r="D212" s="278" t="s">
        <v>14</v>
      </c>
      <c r="E212" s="278" t="s">
        <v>12</v>
      </c>
      <c r="F212" s="278" t="s">
        <v>16</v>
      </c>
      <c r="G212" s="170" t="s">
        <v>15</v>
      </c>
      <c r="H212" s="171">
        <v>17</v>
      </c>
      <c r="I212" s="171"/>
      <c r="J212" s="172">
        <v>0</v>
      </c>
      <c r="K212" s="156">
        <f t="shared" si="15"/>
        <v>17</v>
      </c>
    </row>
    <row r="213" spans="2:11" x14ac:dyDescent="0.25">
      <c r="B213" s="276"/>
      <c r="C213" s="151" t="s">
        <v>95</v>
      </c>
      <c r="D213" s="279"/>
      <c r="E213" s="279"/>
      <c r="F213" s="279"/>
      <c r="G213" s="159" t="s">
        <v>41</v>
      </c>
      <c r="H213" s="131">
        <v>16</v>
      </c>
      <c r="I213" s="131"/>
      <c r="J213" s="172">
        <v>0</v>
      </c>
      <c r="K213" s="156">
        <f t="shared" si="15"/>
        <v>16</v>
      </c>
    </row>
    <row r="214" spans="2:11" x14ac:dyDescent="0.25">
      <c r="B214" s="276"/>
      <c r="C214" s="151" t="s">
        <v>101</v>
      </c>
      <c r="D214" s="279"/>
      <c r="E214" s="279"/>
      <c r="F214" s="279"/>
      <c r="G214" s="159" t="s">
        <v>41</v>
      </c>
      <c r="H214" s="131">
        <v>17</v>
      </c>
      <c r="I214" s="131"/>
      <c r="J214" s="172">
        <v>0</v>
      </c>
      <c r="K214" s="156">
        <f t="shared" si="15"/>
        <v>17</v>
      </c>
    </row>
    <row r="215" spans="2:11" x14ac:dyDescent="0.25">
      <c r="B215" s="276"/>
      <c r="C215" s="151" t="s">
        <v>102</v>
      </c>
      <c r="D215" s="279"/>
      <c r="E215" s="279"/>
      <c r="F215" s="279"/>
      <c r="G215" s="159" t="s">
        <v>41</v>
      </c>
      <c r="H215" s="131">
        <v>15</v>
      </c>
      <c r="I215" s="131"/>
      <c r="J215" s="172">
        <v>0</v>
      </c>
      <c r="K215" s="156">
        <f t="shared" si="15"/>
        <v>15</v>
      </c>
    </row>
    <row r="216" spans="2:11" x14ac:dyDescent="0.25">
      <c r="B216" s="276"/>
      <c r="C216" s="151" t="s">
        <v>134</v>
      </c>
      <c r="D216" s="279"/>
      <c r="E216" s="279"/>
      <c r="F216" s="279"/>
      <c r="G216" s="159" t="s">
        <v>41</v>
      </c>
      <c r="H216" s="131">
        <v>15</v>
      </c>
      <c r="I216" s="131"/>
      <c r="J216" s="172">
        <v>0</v>
      </c>
      <c r="K216" s="156">
        <f t="shared" si="15"/>
        <v>15</v>
      </c>
    </row>
    <row r="217" spans="2:11" x14ac:dyDescent="0.25">
      <c r="B217" s="276"/>
      <c r="C217" s="151" t="s">
        <v>135</v>
      </c>
      <c r="D217" s="279"/>
      <c r="E217" s="279"/>
      <c r="F217" s="279"/>
      <c r="G217" s="159" t="s">
        <v>41</v>
      </c>
      <c r="H217" s="131">
        <v>22</v>
      </c>
      <c r="I217" s="131"/>
      <c r="J217" s="172">
        <v>0</v>
      </c>
      <c r="K217" s="156">
        <f t="shared" si="15"/>
        <v>22</v>
      </c>
    </row>
    <row r="218" spans="2:11" x14ac:dyDescent="0.25">
      <c r="B218" s="277"/>
      <c r="C218" s="151" t="s">
        <v>136</v>
      </c>
      <c r="D218" s="280"/>
      <c r="E218" s="280"/>
      <c r="F218" s="280"/>
      <c r="G218" s="159" t="s">
        <v>41</v>
      </c>
      <c r="H218" s="131">
        <v>24</v>
      </c>
      <c r="I218" s="131"/>
      <c r="J218" s="172">
        <v>0</v>
      </c>
      <c r="K218" s="156">
        <f t="shared" si="15"/>
        <v>24</v>
      </c>
    </row>
    <row r="219" spans="2:11" x14ac:dyDescent="0.25">
      <c r="B219" s="275">
        <v>2</v>
      </c>
      <c r="C219" s="169" t="s">
        <v>58</v>
      </c>
      <c r="D219" s="278" t="s">
        <v>14</v>
      </c>
      <c r="E219" s="278" t="s">
        <v>17</v>
      </c>
      <c r="F219" s="342" t="s">
        <v>16</v>
      </c>
      <c r="G219" s="170" t="s">
        <v>15</v>
      </c>
      <c r="H219" s="171">
        <v>22</v>
      </c>
      <c r="I219" s="171"/>
      <c r="J219" s="172">
        <v>2</v>
      </c>
      <c r="K219" s="156">
        <f t="shared" si="15"/>
        <v>20</v>
      </c>
    </row>
    <row r="220" spans="2:11" x14ac:dyDescent="0.25">
      <c r="B220" s="276"/>
      <c r="C220" s="151" t="s">
        <v>95</v>
      </c>
      <c r="D220" s="279"/>
      <c r="E220" s="279"/>
      <c r="F220" s="343"/>
      <c r="G220" s="159" t="s">
        <v>27</v>
      </c>
      <c r="H220" s="131">
        <v>22</v>
      </c>
      <c r="I220" s="131"/>
      <c r="J220" s="172">
        <v>2</v>
      </c>
      <c r="K220" s="156">
        <f t="shared" si="15"/>
        <v>20</v>
      </c>
    </row>
    <row r="221" spans="2:11" x14ac:dyDescent="0.25">
      <c r="B221" s="276"/>
      <c r="C221" s="151" t="s">
        <v>101</v>
      </c>
      <c r="D221" s="279"/>
      <c r="E221" s="279"/>
      <c r="F221" s="343"/>
      <c r="G221" s="159" t="s">
        <v>27</v>
      </c>
      <c r="H221" s="131">
        <v>24</v>
      </c>
      <c r="I221" s="131"/>
      <c r="J221" s="172">
        <v>2</v>
      </c>
      <c r="K221" s="156">
        <f t="shared" si="15"/>
        <v>22</v>
      </c>
    </row>
    <row r="222" spans="2:11" x14ac:dyDescent="0.25">
      <c r="B222" s="276"/>
      <c r="C222" s="151" t="s">
        <v>102</v>
      </c>
      <c r="D222" s="279"/>
      <c r="E222" s="279"/>
      <c r="F222" s="343"/>
      <c r="G222" s="159" t="s">
        <v>137</v>
      </c>
      <c r="H222" s="131">
        <v>7</v>
      </c>
      <c r="I222" s="131"/>
      <c r="J222" s="172">
        <v>2</v>
      </c>
      <c r="K222" s="156">
        <f t="shared" si="15"/>
        <v>5</v>
      </c>
    </row>
    <row r="223" spans="2:11" x14ac:dyDescent="0.25">
      <c r="B223" s="276"/>
      <c r="C223" s="151" t="s">
        <v>102</v>
      </c>
      <c r="D223" s="279"/>
      <c r="E223" s="279"/>
      <c r="F223" s="343"/>
      <c r="G223" s="159" t="s">
        <v>27</v>
      </c>
      <c r="H223" s="131">
        <v>25</v>
      </c>
      <c r="I223" s="131"/>
      <c r="J223" s="172">
        <v>2</v>
      </c>
      <c r="K223" s="156">
        <f t="shared" si="15"/>
        <v>23</v>
      </c>
    </row>
    <row r="224" spans="2:11" x14ac:dyDescent="0.25">
      <c r="B224" s="276"/>
      <c r="C224" s="151" t="s">
        <v>134</v>
      </c>
      <c r="D224" s="279"/>
      <c r="E224" s="279"/>
      <c r="F224" s="343"/>
      <c r="G224" s="159" t="s">
        <v>27</v>
      </c>
      <c r="H224" s="131">
        <v>16</v>
      </c>
      <c r="I224" s="131"/>
      <c r="J224" s="172">
        <v>2</v>
      </c>
      <c r="K224" s="156">
        <f t="shared" si="15"/>
        <v>14</v>
      </c>
    </row>
    <row r="225" spans="2:11" x14ac:dyDescent="0.25">
      <c r="B225" s="276"/>
      <c r="C225" s="151" t="s">
        <v>135</v>
      </c>
      <c r="D225" s="279"/>
      <c r="E225" s="279"/>
      <c r="F225" s="343"/>
      <c r="G225" s="159" t="s">
        <v>27</v>
      </c>
      <c r="H225" s="131">
        <v>9</v>
      </c>
      <c r="I225" s="131"/>
      <c r="J225" s="172">
        <v>2</v>
      </c>
      <c r="K225" s="156">
        <f t="shared" si="15"/>
        <v>7</v>
      </c>
    </row>
    <row r="226" spans="2:11" x14ac:dyDescent="0.25">
      <c r="B226" s="277"/>
      <c r="C226" s="151" t="s">
        <v>136</v>
      </c>
      <c r="D226" s="280"/>
      <c r="E226" s="280"/>
      <c r="F226" s="344"/>
      <c r="G226" s="159" t="s">
        <v>27</v>
      </c>
      <c r="H226" s="131">
        <v>28</v>
      </c>
      <c r="I226" s="131"/>
      <c r="J226" s="172">
        <v>2</v>
      </c>
      <c r="K226" s="156">
        <f t="shared" si="15"/>
        <v>26</v>
      </c>
    </row>
    <row r="227" spans="2:11" x14ac:dyDescent="0.25">
      <c r="B227" s="275">
        <v>2</v>
      </c>
      <c r="C227" s="169" t="s">
        <v>58</v>
      </c>
      <c r="D227" s="278" t="s">
        <v>14</v>
      </c>
      <c r="E227" s="278" t="s">
        <v>17</v>
      </c>
      <c r="F227" s="278" t="s">
        <v>16</v>
      </c>
      <c r="G227" s="170" t="s">
        <v>43</v>
      </c>
      <c r="H227" s="171">
        <v>19</v>
      </c>
      <c r="I227" s="171"/>
      <c r="J227" s="172">
        <v>1</v>
      </c>
      <c r="K227" s="156">
        <f t="shared" si="15"/>
        <v>18</v>
      </c>
    </row>
    <row r="228" spans="2:11" x14ac:dyDescent="0.25">
      <c r="B228" s="276"/>
      <c r="C228" s="151" t="s">
        <v>95</v>
      </c>
      <c r="D228" s="279"/>
      <c r="E228" s="279"/>
      <c r="F228" s="279"/>
      <c r="G228" s="159" t="s">
        <v>46</v>
      </c>
      <c r="H228" s="131">
        <v>19</v>
      </c>
      <c r="I228" s="131"/>
      <c r="J228" s="172">
        <v>1</v>
      </c>
      <c r="K228" s="156">
        <f t="shared" si="15"/>
        <v>18</v>
      </c>
    </row>
    <row r="229" spans="2:11" x14ac:dyDescent="0.25">
      <c r="B229" s="276"/>
      <c r="C229" s="151" t="s">
        <v>101</v>
      </c>
      <c r="D229" s="279"/>
      <c r="E229" s="279"/>
      <c r="F229" s="279"/>
      <c r="G229" s="159" t="s">
        <v>46</v>
      </c>
      <c r="H229" s="131">
        <v>17</v>
      </c>
      <c r="I229" s="131"/>
      <c r="J229" s="172">
        <v>1</v>
      </c>
      <c r="K229" s="156">
        <f t="shared" si="15"/>
        <v>16</v>
      </c>
    </row>
    <row r="230" spans="2:11" x14ac:dyDescent="0.25">
      <c r="B230" s="276"/>
      <c r="C230" s="151" t="s">
        <v>102</v>
      </c>
      <c r="D230" s="279"/>
      <c r="E230" s="279"/>
      <c r="F230" s="279"/>
      <c r="G230" s="159" t="s">
        <v>46</v>
      </c>
      <c r="H230" s="131">
        <v>10</v>
      </c>
      <c r="I230" s="131"/>
      <c r="J230" s="172">
        <v>1</v>
      </c>
      <c r="K230" s="156">
        <f t="shared" si="15"/>
        <v>9</v>
      </c>
    </row>
    <row r="231" spans="2:11" x14ac:dyDescent="0.25">
      <c r="B231" s="276"/>
      <c r="C231" s="151" t="s">
        <v>134</v>
      </c>
      <c r="D231" s="279"/>
      <c r="E231" s="279"/>
      <c r="F231" s="279"/>
      <c r="G231" s="159" t="s">
        <v>46</v>
      </c>
      <c r="H231" s="131">
        <v>16</v>
      </c>
      <c r="I231" s="131"/>
      <c r="J231" s="172">
        <v>1</v>
      </c>
      <c r="K231" s="156">
        <f t="shared" si="15"/>
        <v>15</v>
      </c>
    </row>
    <row r="232" spans="2:11" x14ac:dyDescent="0.25">
      <c r="B232" s="276"/>
      <c r="C232" s="151" t="s">
        <v>135</v>
      </c>
      <c r="D232" s="279"/>
      <c r="E232" s="279"/>
      <c r="F232" s="279"/>
      <c r="G232" s="159" t="s">
        <v>46</v>
      </c>
      <c r="H232" s="131">
        <v>21</v>
      </c>
      <c r="I232" s="131"/>
      <c r="J232" s="172">
        <v>1</v>
      </c>
      <c r="K232" s="156">
        <f t="shared" si="15"/>
        <v>20</v>
      </c>
    </row>
    <row r="233" spans="2:11" x14ac:dyDescent="0.25">
      <c r="B233" s="277"/>
      <c r="C233" s="151" t="s">
        <v>136</v>
      </c>
      <c r="D233" s="280"/>
      <c r="E233" s="280"/>
      <c r="F233" s="280"/>
      <c r="G233" s="159" t="s">
        <v>46</v>
      </c>
      <c r="H233" s="131">
        <v>18</v>
      </c>
      <c r="I233" s="131"/>
      <c r="J233" s="172">
        <v>1</v>
      </c>
      <c r="K233" s="156">
        <f t="shared" si="15"/>
        <v>17</v>
      </c>
    </row>
    <row r="234" spans="2:11" x14ac:dyDescent="0.25">
      <c r="B234" s="275">
        <v>2</v>
      </c>
      <c r="C234" s="160" t="s">
        <v>62</v>
      </c>
      <c r="D234" s="272" t="s">
        <v>14</v>
      </c>
      <c r="E234" s="272" t="s">
        <v>17</v>
      </c>
      <c r="F234" s="272" t="s">
        <v>16</v>
      </c>
      <c r="G234" s="161" t="s">
        <v>15</v>
      </c>
      <c r="H234" s="162">
        <v>41</v>
      </c>
      <c r="I234" s="162"/>
      <c r="J234" s="172">
        <v>0</v>
      </c>
      <c r="K234" s="156">
        <f t="shared" si="15"/>
        <v>41</v>
      </c>
    </row>
    <row r="235" spans="2:11" x14ac:dyDescent="0.25">
      <c r="B235" s="276"/>
      <c r="C235" s="151" t="s">
        <v>95</v>
      </c>
      <c r="D235" s="273"/>
      <c r="E235" s="273"/>
      <c r="F235" s="273"/>
      <c r="G235" s="159" t="s">
        <v>27</v>
      </c>
      <c r="H235" s="131">
        <v>39</v>
      </c>
      <c r="I235" s="131"/>
      <c r="J235" s="172">
        <v>0</v>
      </c>
      <c r="K235" s="156">
        <f t="shared" ref="K235:K240" si="16">H235-J242</f>
        <v>39</v>
      </c>
    </row>
    <row r="236" spans="2:11" x14ac:dyDescent="0.25">
      <c r="B236" s="276"/>
      <c r="C236" s="151" t="s">
        <v>101</v>
      </c>
      <c r="D236" s="273"/>
      <c r="E236" s="273"/>
      <c r="F236" s="273"/>
      <c r="G236" s="159" t="s">
        <v>27</v>
      </c>
      <c r="H236" s="131">
        <v>41</v>
      </c>
      <c r="I236" s="131"/>
      <c r="J236" s="172">
        <v>0</v>
      </c>
      <c r="K236" s="156">
        <f t="shared" si="16"/>
        <v>41</v>
      </c>
    </row>
    <row r="237" spans="2:11" x14ac:dyDescent="0.25">
      <c r="B237" s="276"/>
      <c r="C237" s="151" t="s">
        <v>102</v>
      </c>
      <c r="D237" s="273"/>
      <c r="E237" s="273"/>
      <c r="F237" s="273"/>
      <c r="G237" s="159" t="s">
        <v>27</v>
      </c>
      <c r="H237" s="131">
        <v>24</v>
      </c>
      <c r="I237" s="131"/>
      <c r="J237" s="172">
        <v>0</v>
      </c>
      <c r="K237" s="156">
        <f t="shared" si="16"/>
        <v>24</v>
      </c>
    </row>
    <row r="238" spans="2:11" x14ac:dyDescent="0.25">
      <c r="B238" s="276"/>
      <c r="C238" s="151" t="s">
        <v>97</v>
      </c>
      <c r="D238" s="273"/>
      <c r="E238" s="273"/>
      <c r="F238" s="273"/>
      <c r="G238" s="159" t="s">
        <v>27</v>
      </c>
      <c r="H238" s="131">
        <v>25</v>
      </c>
      <c r="I238" s="131"/>
      <c r="J238" s="172">
        <v>0</v>
      </c>
      <c r="K238" s="156">
        <f t="shared" si="16"/>
        <v>25</v>
      </c>
    </row>
    <row r="239" spans="2:11" x14ac:dyDescent="0.25">
      <c r="B239" s="276"/>
      <c r="C239" s="151" t="s">
        <v>134</v>
      </c>
      <c r="D239" s="273"/>
      <c r="E239" s="273"/>
      <c r="F239" s="273"/>
      <c r="G239" s="159" t="s">
        <v>27</v>
      </c>
      <c r="H239" s="131">
        <v>21</v>
      </c>
      <c r="I239" s="131"/>
      <c r="J239" s="172">
        <v>0</v>
      </c>
      <c r="K239" s="156">
        <f t="shared" si="16"/>
        <v>21</v>
      </c>
    </row>
    <row r="240" spans="2:11" x14ac:dyDescent="0.25">
      <c r="B240" s="277"/>
      <c r="C240" s="151" t="s">
        <v>104</v>
      </c>
      <c r="D240" s="274"/>
      <c r="E240" s="274"/>
      <c r="F240" s="274"/>
      <c r="G240" s="159" t="s">
        <v>27</v>
      </c>
      <c r="H240" s="131">
        <v>40</v>
      </c>
      <c r="I240" s="131"/>
      <c r="J240" s="172">
        <v>0</v>
      </c>
      <c r="K240" s="156">
        <f t="shared" si="16"/>
        <v>40</v>
      </c>
    </row>
    <row r="241" spans="2:11" x14ac:dyDescent="0.25">
      <c r="B241" s="275">
        <v>2</v>
      </c>
      <c r="C241" s="160" t="s">
        <v>62</v>
      </c>
      <c r="D241" s="272" t="s">
        <v>14</v>
      </c>
      <c r="E241" s="272" t="s">
        <v>17</v>
      </c>
      <c r="F241" s="272" t="s">
        <v>16</v>
      </c>
      <c r="G241" s="161" t="s">
        <v>43</v>
      </c>
      <c r="H241" s="162">
        <v>14</v>
      </c>
      <c r="I241" s="162"/>
      <c r="J241" s="163">
        <v>0</v>
      </c>
      <c r="K241" s="156">
        <f t="shared" si="15"/>
        <v>14</v>
      </c>
    </row>
    <row r="242" spans="2:11" x14ac:dyDescent="0.25">
      <c r="B242" s="276"/>
      <c r="C242" s="151" t="s">
        <v>95</v>
      </c>
      <c r="D242" s="273"/>
      <c r="E242" s="273"/>
      <c r="F242" s="273"/>
      <c r="G242" s="159" t="s">
        <v>46</v>
      </c>
      <c r="H242" s="131">
        <v>18</v>
      </c>
      <c r="I242" s="131"/>
      <c r="J242" s="163">
        <v>0</v>
      </c>
      <c r="K242" s="156">
        <f>H242-J242</f>
        <v>18</v>
      </c>
    </row>
    <row r="243" spans="2:11" x14ac:dyDescent="0.25">
      <c r="B243" s="276"/>
      <c r="C243" s="151" t="s">
        <v>101</v>
      </c>
      <c r="D243" s="273"/>
      <c r="E243" s="273"/>
      <c r="F243" s="273"/>
      <c r="G243" s="159" t="s">
        <v>46</v>
      </c>
      <c r="H243" s="131">
        <v>14</v>
      </c>
      <c r="I243" s="131"/>
      <c r="J243" s="163">
        <v>0</v>
      </c>
      <c r="K243" s="156">
        <f t="shared" ref="K243:K247" si="17">H243-J243</f>
        <v>14</v>
      </c>
    </row>
    <row r="244" spans="2:11" x14ac:dyDescent="0.25">
      <c r="B244" s="276"/>
      <c r="C244" s="151" t="s">
        <v>102</v>
      </c>
      <c r="D244" s="273"/>
      <c r="E244" s="273"/>
      <c r="F244" s="273"/>
      <c r="G244" s="159" t="s">
        <v>46</v>
      </c>
      <c r="H244" s="131">
        <v>35</v>
      </c>
      <c r="I244" s="131"/>
      <c r="J244" s="163">
        <v>0</v>
      </c>
      <c r="K244" s="156">
        <f t="shared" si="17"/>
        <v>35</v>
      </c>
    </row>
    <row r="245" spans="2:11" x14ac:dyDescent="0.25">
      <c r="B245" s="276"/>
      <c r="C245" s="151" t="s">
        <v>97</v>
      </c>
      <c r="D245" s="273"/>
      <c r="E245" s="273"/>
      <c r="F245" s="273"/>
      <c r="G245" s="159" t="s">
        <v>46</v>
      </c>
      <c r="H245" s="131">
        <v>36</v>
      </c>
      <c r="I245" s="131"/>
      <c r="J245" s="163">
        <v>0</v>
      </c>
      <c r="K245" s="156">
        <f t="shared" si="17"/>
        <v>36</v>
      </c>
    </row>
    <row r="246" spans="2:11" x14ac:dyDescent="0.25">
      <c r="B246" s="276"/>
      <c r="C246" s="151" t="s">
        <v>134</v>
      </c>
      <c r="D246" s="273"/>
      <c r="E246" s="273"/>
      <c r="F246" s="273"/>
      <c r="G246" s="159" t="s">
        <v>46</v>
      </c>
      <c r="H246" s="131">
        <v>31</v>
      </c>
      <c r="I246" s="131"/>
      <c r="J246" s="163">
        <v>0</v>
      </c>
      <c r="K246" s="156">
        <f t="shared" si="17"/>
        <v>31</v>
      </c>
    </row>
    <row r="247" spans="2:11" x14ac:dyDescent="0.25">
      <c r="B247" s="277"/>
      <c r="C247" s="151" t="s">
        <v>104</v>
      </c>
      <c r="D247" s="274"/>
      <c r="E247" s="274"/>
      <c r="F247" s="274"/>
      <c r="G247" s="159" t="s">
        <v>46</v>
      </c>
      <c r="H247" s="131">
        <v>15</v>
      </c>
      <c r="I247" s="131"/>
      <c r="J247" s="163">
        <v>0</v>
      </c>
      <c r="K247" s="156">
        <f t="shared" si="17"/>
        <v>15</v>
      </c>
    </row>
    <row r="248" spans="2:11" x14ac:dyDescent="0.25">
      <c r="B248" s="275">
        <v>2</v>
      </c>
      <c r="C248" s="173" t="s">
        <v>64</v>
      </c>
      <c r="D248" s="309" t="s">
        <v>14</v>
      </c>
      <c r="E248" s="339" t="s">
        <v>12</v>
      </c>
      <c r="F248" s="309" t="s">
        <v>16</v>
      </c>
      <c r="G248" s="174" t="s">
        <v>15</v>
      </c>
      <c r="H248" s="175">
        <v>17</v>
      </c>
      <c r="I248" s="175"/>
      <c r="J248" s="176">
        <v>0</v>
      </c>
      <c r="K248" s="156">
        <f t="shared" si="15"/>
        <v>17</v>
      </c>
    </row>
    <row r="249" spans="2:11" x14ac:dyDescent="0.25">
      <c r="B249" s="276"/>
      <c r="C249" s="151" t="s">
        <v>95</v>
      </c>
      <c r="D249" s="310"/>
      <c r="E249" s="340"/>
      <c r="F249" s="310"/>
      <c r="G249" s="159" t="s">
        <v>41</v>
      </c>
      <c r="H249" s="131">
        <v>17</v>
      </c>
      <c r="I249" s="131"/>
      <c r="J249" s="176">
        <v>0</v>
      </c>
      <c r="K249" s="156">
        <f t="shared" si="15"/>
        <v>17</v>
      </c>
    </row>
    <row r="250" spans="2:11" x14ac:dyDescent="0.25">
      <c r="B250" s="276"/>
      <c r="C250" s="151" t="s">
        <v>101</v>
      </c>
      <c r="D250" s="310"/>
      <c r="E250" s="340"/>
      <c r="F250" s="310"/>
      <c r="G250" s="159" t="s">
        <v>41</v>
      </c>
      <c r="H250" s="131">
        <v>17</v>
      </c>
      <c r="I250" s="131"/>
      <c r="J250" s="176">
        <v>0</v>
      </c>
      <c r="K250" s="156">
        <f t="shared" si="15"/>
        <v>17</v>
      </c>
    </row>
    <row r="251" spans="2:11" x14ac:dyDescent="0.25">
      <c r="B251" s="276"/>
      <c r="C251" s="151" t="s">
        <v>138</v>
      </c>
      <c r="D251" s="310"/>
      <c r="E251" s="340"/>
      <c r="F251" s="310"/>
      <c r="G251" s="159" t="s">
        <v>41</v>
      </c>
      <c r="H251" s="131">
        <v>16</v>
      </c>
      <c r="I251" s="131"/>
      <c r="J251" s="176">
        <v>0</v>
      </c>
      <c r="K251" s="156">
        <f t="shared" si="15"/>
        <v>16</v>
      </c>
    </row>
    <row r="252" spans="2:11" x14ac:dyDescent="0.25">
      <c r="B252" s="276"/>
      <c r="C252" s="151" t="s">
        <v>97</v>
      </c>
      <c r="D252" s="310"/>
      <c r="E252" s="340"/>
      <c r="F252" s="310"/>
      <c r="G252" s="159" t="s">
        <v>41</v>
      </c>
      <c r="H252" s="131">
        <v>17</v>
      </c>
      <c r="I252" s="131"/>
      <c r="J252" s="176">
        <v>0</v>
      </c>
      <c r="K252" s="156">
        <f t="shared" si="15"/>
        <v>17</v>
      </c>
    </row>
    <row r="253" spans="2:11" x14ac:dyDescent="0.25">
      <c r="B253" s="276"/>
      <c r="C253" s="151" t="s">
        <v>139</v>
      </c>
      <c r="D253" s="310"/>
      <c r="E253" s="340"/>
      <c r="F253" s="310"/>
      <c r="G253" s="159" t="s">
        <v>41</v>
      </c>
      <c r="H253" s="131">
        <v>13</v>
      </c>
      <c r="I253" s="131"/>
      <c r="J253" s="176">
        <v>0</v>
      </c>
      <c r="K253" s="156">
        <f t="shared" si="15"/>
        <v>13</v>
      </c>
    </row>
    <row r="254" spans="2:11" x14ac:dyDescent="0.25">
      <c r="B254" s="277"/>
      <c r="C254" s="151" t="s">
        <v>140</v>
      </c>
      <c r="D254" s="311"/>
      <c r="E254" s="341"/>
      <c r="F254" s="311"/>
      <c r="G254" s="159" t="s">
        <v>41</v>
      </c>
      <c r="H254" s="131">
        <v>17</v>
      </c>
      <c r="I254" s="131"/>
      <c r="J254" s="176">
        <v>0</v>
      </c>
      <c r="K254" s="156">
        <f t="shared" si="15"/>
        <v>17</v>
      </c>
    </row>
    <row r="255" spans="2:11" x14ac:dyDescent="0.25">
      <c r="B255" s="275">
        <v>2</v>
      </c>
      <c r="C255" s="177" t="s">
        <v>64</v>
      </c>
      <c r="D255" s="312" t="s">
        <v>14</v>
      </c>
      <c r="E255" s="330" t="s">
        <v>17</v>
      </c>
      <c r="F255" s="312" t="s">
        <v>16</v>
      </c>
      <c r="G255" s="178" t="s">
        <v>15</v>
      </c>
      <c r="H255" s="179">
        <v>40</v>
      </c>
      <c r="I255" s="179"/>
      <c r="J255" s="180">
        <v>1</v>
      </c>
      <c r="K255" s="156">
        <f t="shared" si="15"/>
        <v>39</v>
      </c>
    </row>
    <row r="256" spans="2:11" x14ac:dyDescent="0.25">
      <c r="B256" s="276"/>
      <c r="C256" s="151" t="s">
        <v>95</v>
      </c>
      <c r="D256" s="313"/>
      <c r="E256" s="331"/>
      <c r="F256" s="313"/>
      <c r="G256" s="159" t="s">
        <v>27</v>
      </c>
      <c r="H256" s="131">
        <v>40</v>
      </c>
      <c r="I256" s="131"/>
      <c r="J256" s="180">
        <v>1</v>
      </c>
      <c r="K256" s="156">
        <f t="shared" si="15"/>
        <v>39</v>
      </c>
    </row>
    <row r="257" spans="2:11" x14ac:dyDescent="0.25">
      <c r="B257" s="276"/>
      <c r="C257" s="151" t="s">
        <v>101</v>
      </c>
      <c r="D257" s="313"/>
      <c r="E257" s="331"/>
      <c r="F257" s="313"/>
      <c r="G257" s="159" t="s">
        <v>27</v>
      </c>
      <c r="H257" s="131">
        <v>38</v>
      </c>
      <c r="I257" s="131"/>
      <c r="J257" s="180">
        <v>1</v>
      </c>
      <c r="K257" s="156">
        <f t="shared" si="15"/>
        <v>37</v>
      </c>
    </row>
    <row r="258" spans="2:11" x14ac:dyDescent="0.25">
      <c r="B258" s="276"/>
      <c r="C258" s="151" t="s">
        <v>138</v>
      </c>
      <c r="D258" s="313"/>
      <c r="E258" s="331"/>
      <c r="F258" s="313"/>
      <c r="G258" s="159" t="s">
        <v>27</v>
      </c>
      <c r="H258" s="131">
        <v>36</v>
      </c>
      <c r="I258" s="131"/>
      <c r="J258" s="180">
        <v>1</v>
      </c>
      <c r="K258" s="156">
        <f t="shared" si="15"/>
        <v>35</v>
      </c>
    </row>
    <row r="259" spans="2:11" x14ac:dyDescent="0.25">
      <c r="B259" s="276"/>
      <c r="C259" s="151" t="s">
        <v>97</v>
      </c>
      <c r="D259" s="313"/>
      <c r="E259" s="331"/>
      <c r="F259" s="313"/>
      <c r="G259" s="159" t="s">
        <v>27</v>
      </c>
      <c r="H259" s="131">
        <v>46</v>
      </c>
      <c r="I259" s="131"/>
      <c r="J259" s="180">
        <v>1</v>
      </c>
      <c r="K259" s="156">
        <f t="shared" si="15"/>
        <v>45</v>
      </c>
    </row>
    <row r="260" spans="2:11" x14ac:dyDescent="0.25">
      <c r="B260" s="276"/>
      <c r="C260" s="151" t="s">
        <v>139</v>
      </c>
      <c r="D260" s="313"/>
      <c r="E260" s="331"/>
      <c r="F260" s="313"/>
      <c r="G260" s="159" t="s">
        <v>27</v>
      </c>
      <c r="H260" s="131">
        <v>34</v>
      </c>
      <c r="I260" s="131"/>
      <c r="J260" s="180">
        <v>1</v>
      </c>
      <c r="K260" s="156">
        <f t="shared" si="15"/>
        <v>33</v>
      </c>
    </row>
    <row r="261" spans="2:11" x14ac:dyDescent="0.25">
      <c r="B261" s="277"/>
      <c r="C261" s="151" t="s">
        <v>140</v>
      </c>
      <c r="D261" s="314"/>
      <c r="E261" s="332"/>
      <c r="F261" s="314"/>
      <c r="G261" s="159" t="s">
        <v>27</v>
      </c>
      <c r="H261" s="131">
        <v>47</v>
      </c>
      <c r="I261" s="131"/>
      <c r="J261" s="180">
        <v>1</v>
      </c>
      <c r="K261" s="156">
        <f t="shared" ref="K261:K324" si="18">H261-J261</f>
        <v>46</v>
      </c>
    </row>
    <row r="262" spans="2:11" x14ac:dyDescent="0.25">
      <c r="B262" s="275">
        <v>2</v>
      </c>
      <c r="C262" s="177" t="s">
        <v>64</v>
      </c>
      <c r="D262" s="312" t="s">
        <v>14</v>
      </c>
      <c r="E262" s="330" t="s">
        <v>17</v>
      </c>
      <c r="F262" s="312" t="s">
        <v>16</v>
      </c>
      <c r="G262" s="178" t="s">
        <v>43</v>
      </c>
      <c r="H262" s="179">
        <v>40</v>
      </c>
      <c r="I262" s="179"/>
      <c r="J262" s="180">
        <v>3</v>
      </c>
      <c r="K262" s="156">
        <f t="shared" si="18"/>
        <v>37</v>
      </c>
    </row>
    <row r="263" spans="2:11" x14ac:dyDescent="0.25">
      <c r="B263" s="276"/>
      <c r="C263" s="151" t="s">
        <v>95</v>
      </c>
      <c r="D263" s="313"/>
      <c r="E263" s="331"/>
      <c r="F263" s="313"/>
      <c r="G263" s="159" t="s">
        <v>46</v>
      </c>
      <c r="H263" s="131">
        <v>40</v>
      </c>
      <c r="I263" s="131"/>
      <c r="J263" s="180">
        <v>3</v>
      </c>
      <c r="K263" s="156">
        <f t="shared" si="18"/>
        <v>37</v>
      </c>
    </row>
    <row r="264" spans="2:11" x14ac:dyDescent="0.25">
      <c r="B264" s="276"/>
      <c r="C264" s="151" t="s">
        <v>101</v>
      </c>
      <c r="D264" s="313"/>
      <c r="E264" s="331"/>
      <c r="F264" s="313"/>
      <c r="G264" s="159" t="s">
        <v>46</v>
      </c>
      <c r="H264" s="131">
        <v>40</v>
      </c>
      <c r="I264" s="131"/>
      <c r="J264" s="180">
        <v>3</v>
      </c>
      <c r="K264" s="156">
        <f t="shared" si="18"/>
        <v>37</v>
      </c>
    </row>
    <row r="265" spans="2:11" x14ac:dyDescent="0.25">
      <c r="B265" s="276"/>
      <c r="C265" s="151" t="s">
        <v>138</v>
      </c>
      <c r="D265" s="313"/>
      <c r="E265" s="331"/>
      <c r="F265" s="313"/>
      <c r="G265" s="159" t="s">
        <v>46</v>
      </c>
      <c r="H265" s="131">
        <v>42</v>
      </c>
      <c r="I265" s="131"/>
      <c r="J265" s="180">
        <v>3</v>
      </c>
      <c r="K265" s="156">
        <f t="shared" si="18"/>
        <v>39</v>
      </c>
    </row>
    <row r="266" spans="2:11" x14ac:dyDescent="0.25">
      <c r="B266" s="276"/>
      <c r="C266" s="151" t="s">
        <v>97</v>
      </c>
      <c r="D266" s="313"/>
      <c r="E266" s="331"/>
      <c r="F266" s="313"/>
      <c r="G266" s="159" t="s">
        <v>46</v>
      </c>
      <c r="H266" s="131">
        <v>32</v>
      </c>
      <c r="I266" s="131"/>
      <c r="J266" s="180">
        <v>3</v>
      </c>
      <c r="K266" s="156">
        <f t="shared" si="18"/>
        <v>29</v>
      </c>
    </row>
    <row r="267" spans="2:11" x14ac:dyDescent="0.25">
      <c r="B267" s="276"/>
      <c r="C267" s="151" t="s">
        <v>139</v>
      </c>
      <c r="D267" s="313"/>
      <c r="E267" s="331"/>
      <c r="F267" s="313"/>
      <c r="G267" s="159" t="s">
        <v>46</v>
      </c>
      <c r="H267" s="131">
        <v>41</v>
      </c>
      <c r="I267" s="131"/>
      <c r="J267" s="180">
        <v>3</v>
      </c>
      <c r="K267" s="156">
        <f t="shared" si="18"/>
        <v>38</v>
      </c>
    </row>
    <row r="268" spans="2:11" x14ac:dyDescent="0.25">
      <c r="B268" s="277"/>
      <c r="C268" s="151" t="s">
        <v>140</v>
      </c>
      <c r="D268" s="314"/>
      <c r="E268" s="332"/>
      <c r="F268" s="314"/>
      <c r="G268" s="159" t="s">
        <v>46</v>
      </c>
      <c r="H268" s="131">
        <v>31</v>
      </c>
      <c r="I268" s="131"/>
      <c r="J268" s="180">
        <v>3</v>
      </c>
      <c r="K268" s="156">
        <f t="shared" si="18"/>
        <v>28</v>
      </c>
    </row>
    <row r="269" spans="2:11" x14ac:dyDescent="0.25">
      <c r="B269" s="275">
        <v>2</v>
      </c>
      <c r="C269" s="177" t="s">
        <v>64</v>
      </c>
      <c r="D269" s="312" t="s">
        <v>14</v>
      </c>
      <c r="E269" s="330" t="s">
        <v>17</v>
      </c>
      <c r="F269" s="312" t="s">
        <v>16</v>
      </c>
      <c r="G269" s="178" t="s">
        <v>48</v>
      </c>
      <c r="H269" s="179">
        <v>41</v>
      </c>
      <c r="I269" s="179"/>
      <c r="J269" s="180">
        <v>1</v>
      </c>
      <c r="K269" s="156">
        <f>H269-J269</f>
        <v>40</v>
      </c>
    </row>
    <row r="270" spans="2:11" x14ac:dyDescent="0.25">
      <c r="B270" s="276"/>
      <c r="C270" s="151" t="s">
        <v>95</v>
      </c>
      <c r="D270" s="313"/>
      <c r="E270" s="331"/>
      <c r="F270" s="313"/>
      <c r="G270" s="159" t="s">
        <v>141</v>
      </c>
      <c r="H270" s="131">
        <v>41</v>
      </c>
      <c r="I270" s="131"/>
      <c r="J270" s="180">
        <v>1</v>
      </c>
      <c r="K270" s="156">
        <f t="shared" si="18"/>
        <v>40</v>
      </c>
    </row>
    <row r="271" spans="2:11" x14ac:dyDescent="0.25">
      <c r="B271" s="276"/>
      <c r="C271" s="151" t="s">
        <v>101</v>
      </c>
      <c r="D271" s="313"/>
      <c r="E271" s="331"/>
      <c r="F271" s="313"/>
      <c r="G271" s="159" t="s">
        <v>141</v>
      </c>
      <c r="H271" s="131">
        <v>41</v>
      </c>
      <c r="I271" s="131"/>
      <c r="J271" s="180">
        <v>1</v>
      </c>
      <c r="K271" s="156">
        <f t="shared" si="18"/>
        <v>40</v>
      </c>
    </row>
    <row r="272" spans="2:11" x14ac:dyDescent="0.25">
      <c r="B272" s="276"/>
      <c r="C272" s="151" t="s">
        <v>138</v>
      </c>
      <c r="D272" s="313"/>
      <c r="E272" s="331"/>
      <c r="F272" s="313"/>
      <c r="G272" s="159" t="s">
        <v>141</v>
      </c>
      <c r="H272" s="131">
        <v>43</v>
      </c>
      <c r="I272" s="131"/>
      <c r="J272" s="180">
        <v>1</v>
      </c>
      <c r="K272" s="156">
        <f t="shared" si="18"/>
        <v>42</v>
      </c>
    </row>
    <row r="273" spans="2:11" x14ac:dyDescent="0.25">
      <c r="B273" s="276"/>
      <c r="C273" s="151" t="s">
        <v>97</v>
      </c>
      <c r="D273" s="313"/>
      <c r="E273" s="331"/>
      <c r="F273" s="313"/>
      <c r="G273" s="159" t="s">
        <v>141</v>
      </c>
      <c r="H273" s="131">
        <v>41</v>
      </c>
      <c r="I273" s="131"/>
      <c r="J273" s="180">
        <v>1</v>
      </c>
      <c r="K273" s="156">
        <f t="shared" si="18"/>
        <v>40</v>
      </c>
    </row>
    <row r="274" spans="2:11" x14ac:dyDescent="0.25">
      <c r="B274" s="276"/>
      <c r="C274" s="151" t="s">
        <v>139</v>
      </c>
      <c r="D274" s="313"/>
      <c r="E274" s="331"/>
      <c r="F274" s="313"/>
      <c r="G274" s="159" t="s">
        <v>141</v>
      </c>
      <c r="H274" s="131">
        <v>39</v>
      </c>
      <c r="I274" s="131"/>
      <c r="J274" s="180">
        <v>1</v>
      </c>
      <c r="K274" s="156">
        <f t="shared" si="18"/>
        <v>38</v>
      </c>
    </row>
    <row r="275" spans="2:11" x14ac:dyDescent="0.25">
      <c r="B275" s="277"/>
      <c r="C275" s="151" t="s">
        <v>140</v>
      </c>
      <c r="D275" s="314"/>
      <c r="E275" s="332"/>
      <c r="F275" s="314"/>
      <c r="G275" s="159" t="s">
        <v>141</v>
      </c>
      <c r="H275" s="131">
        <v>41</v>
      </c>
      <c r="I275" s="131"/>
      <c r="J275" s="180">
        <v>1</v>
      </c>
      <c r="K275" s="156">
        <f t="shared" si="18"/>
        <v>40</v>
      </c>
    </row>
    <row r="276" spans="2:11" x14ac:dyDescent="0.25">
      <c r="B276" s="275">
        <v>2</v>
      </c>
      <c r="C276" s="177" t="s">
        <v>64</v>
      </c>
      <c r="D276" s="312" t="s">
        <v>14</v>
      </c>
      <c r="E276" s="330" t="s">
        <v>17</v>
      </c>
      <c r="F276" s="312" t="s">
        <v>25</v>
      </c>
      <c r="G276" s="178" t="s">
        <v>142</v>
      </c>
      <c r="H276" s="179">
        <v>30</v>
      </c>
      <c r="I276" s="179"/>
      <c r="J276" s="180">
        <v>2</v>
      </c>
      <c r="K276" s="156">
        <f>H276-J276</f>
        <v>28</v>
      </c>
    </row>
    <row r="277" spans="2:11" x14ac:dyDescent="0.25">
      <c r="B277" s="276"/>
      <c r="C277" s="151" t="s">
        <v>95</v>
      </c>
      <c r="D277" s="313"/>
      <c r="E277" s="331"/>
      <c r="F277" s="313"/>
      <c r="G277" s="159" t="s">
        <v>143</v>
      </c>
      <c r="H277" s="131">
        <v>30</v>
      </c>
      <c r="I277" s="131"/>
      <c r="J277" s="181">
        <v>2</v>
      </c>
      <c r="K277" s="156">
        <f t="shared" si="18"/>
        <v>28</v>
      </c>
    </row>
    <row r="278" spans="2:11" x14ac:dyDescent="0.25">
      <c r="B278" s="276"/>
      <c r="C278" s="151" t="s">
        <v>101</v>
      </c>
      <c r="D278" s="313"/>
      <c r="E278" s="331"/>
      <c r="F278" s="313"/>
      <c r="G278" s="159" t="s">
        <v>143</v>
      </c>
      <c r="H278" s="131">
        <v>28</v>
      </c>
      <c r="I278" s="131"/>
      <c r="J278" s="181">
        <v>2</v>
      </c>
      <c r="K278" s="156">
        <f t="shared" si="18"/>
        <v>26</v>
      </c>
    </row>
    <row r="279" spans="2:11" x14ac:dyDescent="0.25">
      <c r="B279" s="276"/>
      <c r="C279" s="151" t="s">
        <v>138</v>
      </c>
      <c r="D279" s="313"/>
      <c r="E279" s="331"/>
      <c r="F279" s="313"/>
      <c r="G279" s="159" t="s">
        <v>143</v>
      </c>
      <c r="H279" s="131">
        <v>27</v>
      </c>
      <c r="I279" s="131"/>
      <c r="J279" s="181">
        <v>2</v>
      </c>
      <c r="K279" s="156">
        <f t="shared" si="18"/>
        <v>25</v>
      </c>
    </row>
    <row r="280" spans="2:11" x14ac:dyDescent="0.25">
      <c r="B280" s="276"/>
      <c r="C280" s="151" t="s">
        <v>97</v>
      </c>
      <c r="D280" s="313"/>
      <c r="E280" s="331"/>
      <c r="F280" s="313"/>
      <c r="G280" s="159" t="s">
        <v>143</v>
      </c>
      <c r="H280" s="131">
        <v>32</v>
      </c>
      <c r="I280" s="131"/>
      <c r="J280" s="181">
        <v>2</v>
      </c>
      <c r="K280" s="156">
        <f t="shared" si="18"/>
        <v>30</v>
      </c>
    </row>
    <row r="281" spans="2:11" x14ac:dyDescent="0.25">
      <c r="B281" s="276"/>
      <c r="C281" s="151" t="s">
        <v>139</v>
      </c>
      <c r="D281" s="313"/>
      <c r="E281" s="331"/>
      <c r="F281" s="313"/>
      <c r="G281" s="159" t="s">
        <v>143</v>
      </c>
      <c r="H281" s="131">
        <v>25</v>
      </c>
      <c r="I281" s="131"/>
      <c r="J281" s="181">
        <v>2</v>
      </c>
      <c r="K281" s="156">
        <f t="shared" si="18"/>
        <v>23</v>
      </c>
    </row>
    <row r="282" spans="2:11" x14ac:dyDescent="0.25">
      <c r="B282" s="277"/>
      <c r="C282" s="151" t="s">
        <v>140</v>
      </c>
      <c r="D282" s="314"/>
      <c r="E282" s="332"/>
      <c r="F282" s="314"/>
      <c r="G282" s="159" t="s">
        <v>143</v>
      </c>
      <c r="H282" s="131">
        <v>25</v>
      </c>
      <c r="I282" s="131"/>
      <c r="J282" s="181">
        <v>2</v>
      </c>
      <c r="K282" s="156">
        <f t="shared" si="18"/>
        <v>23</v>
      </c>
    </row>
    <row r="283" spans="2:11" x14ac:dyDescent="0.25">
      <c r="B283" s="275">
        <v>2</v>
      </c>
      <c r="C283" s="177" t="s">
        <v>64</v>
      </c>
      <c r="D283" s="312" t="s">
        <v>14</v>
      </c>
      <c r="E283" s="330" t="s">
        <v>17</v>
      </c>
      <c r="F283" s="312" t="s">
        <v>25</v>
      </c>
      <c r="G283" s="178" t="s">
        <v>144</v>
      </c>
      <c r="H283" s="179">
        <v>8</v>
      </c>
      <c r="I283" s="179"/>
      <c r="J283" s="180">
        <v>1</v>
      </c>
      <c r="K283" s="156">
        <f>H283-J283</f>
        <v>7</v>
      </c>
    </row>
    <row r="284" spans="2:11" x14ac:dyDescent="0.25">
      <c r="B284" s="276"/>
      <c r="C284" s="151" t="s">
        <v>95</v>
      </c>
      <c r="D284" s="313"/>
      <c r="E284" s="331"/>
      <c r="F284" s="313"/>
      <c r="G284" s="159" t="s">
        <v>145</v>
      </c>
      <c r="H284" s="131">
        <v>5</v>
      </c>
      <c r="I284" s="131"/>
      <c r="J284" s="180">
        <v>1</v>
      </c>
      <c r="K284" s="156">
        <f t="shared" si="18"/>
        <v>4</v>
      </c>
    </row>
    <row r="285" spans="2:11" x14ac:dyDescent="0.25">
      <c r="B285" s="276"/>
      <c r="C285" s="151" t="s">
        <v>101</v>
      </c>
      <c r="D285" s="313"/>
      <c r="E285" s="331"/>
      <c r="F285" s="313"/>
      <c r="G285" s="159" t="s">
        <v>145</v>
      </c>
      <c r="H285" s="131">
        <v>6</v>
      </c>
      <c r="I285" s="131"/>
      <c r="J285" s="180">
        <v>1</v>
      </c>
      <c r="K285" s="156">
        <f t="shared" si="18"/>
        <v>5</v>
      </c>
    </row>
    <row r="286" spans="2:11" x14ac:dyDescent="0.25">
      <c r="B286" s="276"/>
      <c r="C286" s="151" t="s">
        <v>138</v>
      </c>
      <c r="D286" s="313"/>
      <c r="E286" s="331"/>
      <c r="F286" s="313"/>
      <c r="G286" s="159" t="s">
        <v>145</v>
      </c>
      <c r="H286" s="131">
        <v>5</v>
      </c>
      <c r="I286" s="131"/>
      <c r="J286" s="180">
        <v>1</v>
      </c>
      <c r="K286" s="156">
        <f t="shared" si="18"/>
        <v>4</v>
      </c>
    </row>
    <row r="287" spans="2:11" x14ac:dyDescent="0.25">
      <c r="B287" s="276"/>
      <c r="C287" s="151" t="s">
        <v>97</v>
      </c>
      <c r="D287" s="313"/>
      <c r="E287" s="331"/>
      <c r="F287" s="313"/>
      <c r="G287" s="159" t="s">
        <v>145</v>
      </c>
      <c r="H287" s="131">
        <v>9</v>
      </c>
      <c r="I287" s="131"/>
      <c r="J287" s="180">
        <v>1</v>
      </c>
      <c r="K287" s="156">
        <f t="shared" si="18"/>
        <v>8</v>
      </c>
    </row>
    <row r="288" spans="2:11" x14ac:dyDescent="0.25">
      <c r="B288" s="276"/>
      <c r="C288" s="151" t="s">
        <v>139</v>
      </c>
      <c r="D288" s="313"/>
      <c r="E288" s="331"/>
      <c r="F288" s="313"/>
      <c r="G288" s="159" t="s">
        <v>145</v>
      </c>
      <c r="H288" s="131">
        <v>8</v>
      </c>
      <c r="I288" s="131"/>
      <c r="J288" s="180">
        <v>1</v>
      </c>
      <c r="K288" s="156">
        <f t="shared" si="18"/>
        <v>7</v>
      </c>
    </row>
    <row r="289" spans="2:11" x14ac:dyDescent="0.25">
      <c r="B289" s="277"/>
      <c r="C289" s="151" t="s">
        <v>140</v>
      </c>
      <c r="D289" s="314"/>
      <c r="E289" s="332"/>
      <c r="F289" s="314"/>
      <c r="G289" s="159" t="s">
        <v>145</v>
      </c>
      <c r="H289" s="131">
        <v>10</v>
      </c>
      <c r="I289" s="131"/>
      <c r="J289" s="180">
        <v>1</v>
      </c>
      <c r="K289" s="156">
        <f t="shared" si="18"/>
        <v>9</v>
      </c>
    </row>
    <row r="290" spans="2:11" x14ac:dyDescent="0.25">
      <c r="B290" s="275">
        <v>2</v>
      </c>
      <c r="C290" s="182" t="s">
        <v>69</v>
      </c>
      <c r="D290" s="315" t="s">
        <v>14</v>
      </c>
      <c r="E290" s="315" t="s">
        <v>12</v>
      </c>
      <c r="F290" s="345" t="s">
        <v>16</v>
      </c>
      <c r="G290" s="183" t="s">
        <v>15</v>
      </c>
      <c r="H290" s="184">
        <v>38</v>
      </c>
      <c r="I290" s="184"/>
      <c r="J290" s="185">
        <v>1</v>
      </c>
      <c r="K290" s="156">
        <f t="shared" si="18"/>
        <v>37</v>
      </c>
    </row>
    <row r="291" spans="2:11" x14ac:dyDescent="0.25">
      <c r="B291" s="276"/>
      <c r="C291" s="151" t="s">
        <v>107</v>
      </c>
      <c r="D291" s="316"/>
      <c r="E291" s="316"/>
      <c r="F291" s="346"/>
      <c r="G291" s="159" t="s">
        <v>114</v>
      </c>
      <c r="H291" s="131">
        <v>25</v>
      </c>
      <c r="I291" s="131">
        <v>1</v>
      </c>
      <c r="J291" s="185"/>
      <c r="K291" s="156">
        <f>H291-J291-I291</f>
        <v>24</v>
      </c>
    </row>
    <row r="292" spans="2:11" x14ac:dyDescent="0.25">
      <c r="B292" s="276"/>
      <c r="C292" s="151" t="s">
        <v>95</v>
      </c>
      <c r="D292" s="316"/>
      <c r="E292" s="316"/>
      <c r="F292" s="346"/>
      <c r="G292" s="159" t="s">
        <v>114</v>
      </c>
      <c r="H292" s="131">
        <v>40</v>
      </c>
      <c r="I292" s="131"/>
      <c r="J292" s="185"/>
      <c r="K292" s="156">
        <f t="shared" ref="K292:K296" si="19">H292-J292-I292</f>
        <v>40</v>
      </c>
    </row>
    <row r="293" spans="2:11" x14ac:dyDescent="0.25">
      <c r="B293" s="276"/>
      <c r="C293" s="151" t="s">
        <v>101</v>
      </c>
      <c r="D293" s="316"/>
      <c r="E293" s="316"/>
      <c r="F293" s="346"/>
      <c r="G293" s="159" t="s">
        <v>114</v>
      </c>
      <c r="H293" s="131">
        <v>42</v>
      </c>
      <c r="I293" s="131"/>
      <c r="J293" s="185"/>
      <c r="K293" s="156">
        <f t="shared" si="19"/>
        <v>42</v>
      </c>
    </row>
    <row r="294" spans="2:11" x14ac:dyDescent="0.25">
      <c r="B294" s="276"/>
      <c r="C294" s="151" t="s">
        <v>102</v>
      </c>
      <c r="D294" s="316"/>
      <c r="E294" s="316"/>
      <c r="F294" s="346"/>
      <c r="G294" s="159" t="s">
        <v>114</v>
      </c>
      <c r="H294" s="131">
        <v>27</v>
      </c>
      <c r="I294" s="131"/>
      <c r="J294" s="185"/>
      <c r="K294" s="156">
        <f t="shared" si="19"/>
        <v>27</v>
      </c>
    </row>
    <row r="295" spans="2:11" x14ac:dyDescent="0.25">
      <c r="B295" s="276"/>
      <c r="C295" s="151" t="s">
        <v>146</v>
      </c>
      <c r="D295" s="316"/>
      <c r="E295" s="316"/>
      <c r="F295" s="346"/>
      <c r="G295" s="159" t="s">
        <v>114</v>
      </c>
      <c r="H295" s="131">
        <v>38</v>
      </c>
      <c r="I295" s="131"/>
      <c r="J295" s="185"/>
      <c r="K295" s="156">
        <f t="shared" si="19"/>
        <v>38</v>
      </c>
    </row>
    <row r="296" spans="2:11" x14ac:dyDescent="0.25">
      <c r="B296" s="277"/>
      <c r="C296" s="151" t="s">
        <v>147</v>
      </c>
      <c r="D296" s="317"/>
      <c r="E296" s="317"/>
      <c r="F296" s="347"/>
      <c r="G296" s="159" t="s">
        <v>114</v>
      </c>
      <c r="H296" s="131">
        <v>36</v>
      </c>
      <c r="I296" s="131"/>
      <c r="J296" s="185"/>
      <c r="K296" s="156">
        <f t="shared" si="19"/>
        <v>36</v>
      </c>
    </row>
    <row r="297" spans="2:11" x14ac:dyDescent="0.25">
      <c r="B297" s="275">
        <v>2</v>
      </c>
      <c r="C297" s="182" t="s">
        <v>69</v>
      </c>
      <c r="D297" s="315" t="s">
        <v>14</v>
      </c>
      <c r="E297" s="315" t="s">
        <v>12</v>
      </c>
      <c r="F297" s="345" t="s">
        <v>16</v>
      </c>
      <c r="G297" s="183" t="s">
        <v>43</v>
      </c>
      <c r="H297" s="184">
        <v>42</v>
      </c>
      <c r="I297" s="184"/>
      <c r="J297" s="185">
        <v>1</v>
      </c>
      <c r="K297" s="156">
        <f t="shared" si="18"/>
        <v>41</v>
      </c>
    </row>
    <row r="298" spans="2:11" x14ac:dyDescent="0.25">
      <c r="B298" s="276"/>
      <c r="C298" s="151" t="s">
        <v>107</v>
      </c>
      <c r="D298" s="316"/>
      <c r="E298" s="316"/>
      <c r="F298" s="346"/>
      <c r="G298" s="159" t="s">
        <v>117</v>
      </c>
      <c r="H298" s="131">
        <v>42</v>
      </c>
      <c r="I298" s="131"/>
      <c r="J298" s="185">
        <v>0</v>
      </c>
      <c r="K298" s="156">
        <f>H298-J298-I298</f>
        <v>42</v>
      </c>
    </row>
    <row r="299" spans="2:11" x14ac:dyDescent="0.25">
      <c r="B299" s="276"/>
      <c r="C299" s="151" t="s">
        <v>95</v>
      </c>
      <c r="D299" s="316"/>
      <c r="E299" s="316"/>
      <c r="F299" s="346"/>
      <c r="G299" s="159" t="s">
        <v>117</v>
      </c>
      <c r="H299" s="131">
        <v>11</v>
      </c>
      <c r="I299" s="131">
        <v>1</v>
      </c>
      <c r="J299" s="185"/>
      <c r="K299" s="156">
        <f t="shared" ref="K299:K303" si="20">H299-J299-I299</f>
        <v>10</v>
      </c>
    </row>
    <row r="300" spans="2:11" x14ac:dyDescent="0.25">
      <c r="B300" s="276"/>
      <c r="C300" s="151" t="s">
        <v>101</v>
      </c>
      <c r="D300" s="316"/>
      <c r="E300" s="316"/>
      <c r="F300" s="346"/>
      <c r="G300" s="159" t="s">
        <v>117</v>
      </c>
      <c r="H300" s="131">
        <v>21</v>
      </c>
      <c r="I300" s="131">
        <v>1</v>
      </c>
      <c r="J300" s="185"/>
      <c r="K300" s="156">
        <f>H300-J300-I300</f>
        <v>20</v>
      </c>
    </row>
    <row r="301" spans="2:11" x14ac:dyDescent="0.25">
      <c r="B301" s="276"/>
      <c r="C301" s="151" t="s">
        <v>102</v>
      </c>
      <c r="D301" s="316"/>
      <c r="E301" s="316"/>
      <c r="F301" s="346"/>
      <c r="G301" s="159" t="s">
        <v>117</v>
      </c>
      <c r="H301" s="131">
        <v>22</v>
      </c>
      <c r="I301" s="131">
        <v>0</v>
      </c>
      <c r="J301" s="185"/>
      <c r="K301" s="156">
        <f t="shared" si="20"/>
        <v>22</v>
      </c>
    </row>
    <row r="302" spans="2:11" x14ac:dyDescent="0.25">
      <c r="B302" s="276"/>
      <c r="C302" s="151" t="s">
        <v>146</v>
      </c>
      <c r="D302" s="316"/>
      <c r="E302" s="316"/>
      <c r="F302" s="346"/>
      <c r="G302" s="159" t="s">
        <v>117</v>
      </c>
      <c r="H302" s="131">
        <v>42</v>
      </c>
      <c r="I302" s="131">
        <v>1</v>
      </c>
      <c r="J302" s="185"/>
      <c r="K302" s="156">
        <f>H302-J302-I302</f>
        <v>41</v>
      </c>
    </row>
    <row r="303" spans="2:11" x14ac:dyDescent="0.25">
      <c r="B303" s="277"/>
      <c r="C303" s="151" t="s">
        <v>147</v>
      </c>
      <c r="D303" s="317"/>
      <c r="E303" s="317"/>
      <c r="F303" s="347"/>
      <c r="G303" s="159" t="s">
        <v>117</v>
      </c>
      <c r="H303" s="131">
        <v>42</v>
      </c>
      <c r="I303" s="131">
        <v>1</v>
      </c>
      <c r="J303" s="185">
        <v>0</v>
      </c>
      <c r="K303" s="156">
        <f t="shared" si="20"/>
        <v>41</v>
      </c>
    </row>
    <row r="304" spans="2:11" x14ac:dyDescent="0.25">
      <c r="B304" s="275">
        <v>2</v>
      </c>
      <c r="C304" s="182" t="s">
        <v>69</v>
      </c>
      <c r="D304" s="315" t="s">
        <v>14</v>
      </c>
      <c r="E304" s="315" t="s">
        <v>12</v>
      </c>
      <c r="F304" s="345" t="s">
        <v>25</v>
      </c>
      <c r="G304" s="183" t="s">
        <v>48</v>
      </c>
      <c r="H304" s="184">
        <v>38</v>
      </c>
      <c r="I304" s="184"/>
      <c r="J304" s="185">
        <v>3</v>
      </c>
      <c r="K304" s="156">
        <f t="shared" si="18"/>
        <v>35</v>
      </c>
    </row>
    <row r="305" spans="2:11" x14ac:dyDescent="0.25">
      <c r="B305" s="276"/>
      <c r="C305" s="151" t="s">
        <v>107</v>
      </c>
      <c r="D305" s="316"/>
      <c r="E305" s="316"/>
      <c r="F305" s="346"/>
      <c r="G305" s="159" t="s">
        <v>148</v>
      </c>
      <c r="H305" s="131">
        <v>38</v>
      </c>
      <c r="I305" s="131"/>
      <c r="J305" s="185">
        <v>2</v>
      </c>
      <c r="K305" s="156">
        <f>H305-J305-I305</f>
        <v>36</v>
      </c>
    </row>
    <row r="306" spans="2:11" x14ac:dyDescent="0.25">
      <c r="B306" s="276"/>
      <c r="C306" s="151" t="s">
        <v>95</v>
      </c>
      <c r="D306" s="316"/>
      <c r="E306" s="316"/>
      <c r="F306" s="346"/>
      <c r="G306" s="159" t="s">
        <v>148</v>
      </c>
      <c r="H306" s="131">
        <v>42</v>
      </c>
      <c r="I306" s="131"/>
      <c r="J306" s="185">
        <v>2</v>
      </c>
      <c r="K306" s="156">
        <f t="shared" ref="K306:K309" si="21">H306-J306-I306</f>
        <v>40</v>
      </c>
    </row>
    <row r="307" spans="2:11" x14ac:dyDescent="0.25">
      <c r="B307" s="276"/>
      <c r="C307" s="151" t="s">
        <v>101</v>
      </c>
      <c r="D307" s="316"/>
      <c r="E307" s="316"/>
      <c r="F307" s="346"/>
      <c r="G307" s="159" t="s">
        <v>148</v>
      </c>
      <c r="H307" s="131">
        <v>26</v>
      </c>
      <c r="I307" s="131"/>
      <c r="J307" s="185">
        <v>2</v>
      </c>
      <c r="K307" s="156">
        <f t="shared" si="21"/>
        <v>24</v>
      </c>
    </row>
    <row r="308" spans="2:11" x14ac:dyDescent="0.25">
      <c r="B308" s="276"/>
      <c r="C308" s="151" t="s">
        <v>102</v>
      </c>
      <c r="D308" s="316"/>
      <c r="E308" s="316"/>
      <c r="F308" s="346"/>
      <c r="G308" s="159" t="s">
        <v>148</v>
      </c>
      <c r="H308" s="131">
        <v>42</v>
      </c>
      <c r="I308" s="131">
        <v>1</v>
      </c>
      <c r="J308" s="185">
        <v>2</v>
      </c>
      <c r="K308" s="156">
        <f t="shared" si="21"/>
        <v>39</v>
      </c>
    </row>
    <row r="309" spans="2:11" x14ac:dyDescent="0.25">
      <c r="B309" s="276"/>
      <c r="C309" s="151" t="s">
        <v>146</v>
      </c>
      <c r="D309" s="316"/>
      <c r="E309" s="316"/>
      <c r="F309" s="346"/>
      <c r="G309" s="159" t="s">
        <v>148</v>
      </c>
      <c r="H309" s="131">
        <v>10</v>
      </c>
      <c r="I309" s="131"/>
      <c r="J309" s="185">
        <v>2</v>
      </c>
      <c r="K309" s="156">
        <f t="shared" si="21"/>
        <v>8</v>
      </c>
    </row>
    <row r="310" spans="2:11" x14ac:dyDescent="0.25">
      <c r="B310" s="277"/>
      <c r="C310" s="151" t="s">
        <v>147</v>
      </c>
      <c r="D310" s="317"/>
      <c r="E310" s="317"/>
      <c r="F310" s="347"/>
      <c r="G310" s="159" t="s">
        <v>148</v>
      </c>
      <c r="H310" s="131">
        <v>28</v>
      </c>
      <c r="I310" s="131"/>
      <c r="J310" s="185">
        <v>2</v>
      </c>
      <c r="K310" s="156">
        <f>H310-J310-I310</f>
        <v>26</v>
      </c>
    </row>
    <row r="311" spans="2:11" x14ac:dyDescent="0.25">
      <c r="B311" s="275">
        <v>2</v>
      </c>
      <c r="C311" s="182" t="s">
        <v>69</v>
      </c>
      <c r="D311" s="315" t="s">
        <v>14</v>
      </c>
      <c r="E311" s="315" t="s">
        <v>12</v>
      </c>
      <c r="F311" s="345" t="s">
        <v>16</v>
      </c>
      <c r="G311" s="183" t="s">
        <v>50</v>
      </c>
      <c r="H311" s="184">
        <v>42</v>
      </c>
      <c r="I311" s="184"/>
      <c r="J311" s="185">
        <v>0</v>
      </c>
      <c r="K311" s="156">
        <f t="shared" si="18"/>
        <v>42</v>
      </c>
    </row>
    <row r="312" spans="2:11" x14ac:dyDescent="0.25">
      <c r="B312" s="276"/>
      <c r="C312" s="151" t="s">
        <v>107</v>
      </c>
      <c r="D312" s="316"/>
      <c r="E312" s="316"/>
      <c r="F312" s="346"/>
      <c r="G312" s="159" t="s">
        <v>149</v>
      </c>
      <c r="H312" s="131">
        <v>27</v>
      </c>
      <c r="I312" s="131"/>
      <c r="J312" s="185">
        <v>0</v>
      </c>
      <c r="K312" s="156">
        <f>H312-J312</f>
        <v>27</v>
      </c>
    </row>
    <row r="313" spans="2:11" x14ac:dyDescent="0.25">
      <c r="B313" s="276"/>
      <c r="C313" s="151" t="s">
        <v>95</v>
      </c>
      <c r="D313" s="316"/>
      <c r="E313" s="316"/>
      <c r="F313" s="346"/>
      <c r="G313" s="159" t="s">
        <v>149</v>
      </c>
      <c r="H313" s="131">
        <v>42</v>
      </c>
      <c r="I313" s="131"/>
      <c r="J313" s="185">
        <v>0</v>
      </c>
      <c r="K313" s="156">
        <f t="shared" si="18"/>
        <v>42</v>
      </c>
    </row>
    <row r="314" spans="2:11" x14ac:dyDescent="0.25">
      <c r="B314" s="276"/>
      <c r="C314" s="151" t="s">
        <v>101</v>
      </c>
      <c r="D314" s="316"/>
      <c r="E314" s="316"/>
      <c r="F314" s="346"/>
      <c r="G314" s="159" t="s">
        <v>149</v>
      </c>
      <c r="H314" s="131">
        <v>42</v>
      </c>
      <c r="I314" s="131"/>
      <c r="J314" s="185">
        <v>0</v>
      </c>
      <c r="K314" s="156">
        <f t="shared" si="18"/>
        <v>42</v>
      </c>
    </row>
    <row r="315" spans="2:11" x14ac:dyDescent="0.25">
      <c r="B315" s="276"/>
      <c r="C315" s="151" t="s">
        <v>102</v>
      </c>
      <c r="D315" s="316"/>
      <c r="E315" s="316"/>
      <c r="F315" s="346"/>
      <c r="G315" s="159" t="s">
        <v>149</v>
      </c>
      <c r="H315" s="131">
        <v>42</v>
      </c>
      <c r="I315" s="131"/>
      <c r="J315" s="185">
        <v>0</v>
      </c>
      <c r="K315" s="156">
        <f t="shared" si="18"/>
        <v>42</v>
      </c>
    </row>
    <row r="316" spans="2:11" x14ac:dyDescent="0.25">
      <c r="B316" s="276"/>
      <c r="C316" s="151" t="s">
        <v>146</v>
      </c>
      <c r="D316" s="316"/>
      <c r="E316" s="316"/>
      <c r="F316" s="346"/>
      <c r="G316" s="159" t="s">
        <v>149</v>
      </c>
      <c r="H316" s="131">
        <v>42</v>
      </c>
      <c r="I316" s="131"/>
      <c r="J316" s="185">
        <v>0</v>
      </c>
      <c r="K316" s="156">
        <f t="shared" si="18"/>
        <v>42</v>
      </c>
    </row>
    <row r="317" spans="2:11" x14ac:dyDescent="0.25">
      <c r="B317" s="277"/>
      <c r="C317" s="151" t="s">
        <v>147</v>
      </c>
      <c r="D317" s="317"/>
      <c r="E317" s="317"/>
      <c r="F317" s="347"/>
      <c r="G317" s="159" t="s">
        <v>149</v>
      </c>
      <c r="H317" s="131">
        <v>32</v>
      </c>
      <c r="I317" s="131"/>
      <c r="J317" s="185">
        <v>0</v>
      </c>
      <c r="K317" s="156">
        <f>H317-J317</f>
        <v>32</v>
      </c>
    </row>
    <row r="318" spans="2:11" x14ac:dyDescent="0.25">
      <c r="B318" s="275">
        <v>2</v>
      </c>
      <c r="C318" s="186" t="s">
        <v>69</v>
      </c>
      <c r="D318" s="318" t="s">
        <v>14</v>
      </c>
      <c r="E318" s="318" t="s">
        <v>26</v>
      </c>
      <c r="F318" s="348" t="s">
        <v>16</v>
      </c>
      <c r="G318" s="187" t="s">
        <v>15</v>
      </c>
      <c r="H318" s="188">
        <v>24</v>
      </c>
      <c r="I318" s="188"/>
      <c r="J318" s="189">
        <v>1</v>
      </c>
      <c r="K318" s="156">
        <f t="shared" si="18"/>
        <v>23</v>
      </c>
    </row>
    <row r="319" spans="2:11" x14ac:dyDescent="0.25">
      <c r="B319" s="276"/>
      <c r="C319" s="151" t="s">
        <v>107</v>
      </c>
      <c r="D319" s="319"/>
      <c r="E319" s="319"/>
      <c r="F319" s="349"/>
      <c r="G319" s="159" t="s">
        <v>72</v>
      </c>
      <c r="H319" s="131">
        <v>24</v>
      </c>
      <c r="I319" s="131"/>
      <c r="J319" s="189">
        <v>1</v>
      </c>
      <c r="K319" s="156">
        <f t="shared" si="18"/>
        <v>23</v>
      </c>
    </row>
    <row r="320" spans="2:11" x14ac:dyDescent="0.25">
      <c r="B320" s="276"/>
      <c r="C320" s="151" t="s">
        <v>95</v>
      </c>
      <c r="D320" s="319"/>
      <c r="E320" s="319"/>
      <c r="F320" s="349"/>
      <c r="G320" s="159" t="s">
        <v>72</v>
      </c>
      <c r="H320" s="131">
        <v>30</v>
      </c>
      <c r="I320" s="131"/>
      <c r="J320" s="189">
        <v>1</v>
      </c>
      <c r="K320" s="156">
        <f t="shared" si="18"/>
        <v>29</v>
      </c>
    </row>
    <row r="321" spans="2:11" x14ac:dyDescent="0.25">
      <c r="B321" s="276"/>
      <c r="C321" s="151" t="s">
        <v>101</v>
      </c>
      <c r="D321" s="319"/>
      <c r="E321" s="319"/>
      <c r="F321" s="349"/>
      <c r="G321" s="159" t="s">
        <v>72</v>
      </c>
      <c r="H321" s="131">
        <v>24</v>
      </c>
      <c r="I321" s="131"/>
      <c r="J321" s="189">
        <v>1</v>
      </c>
      <c r="K321" s="156">
        <f t="shared" si="18"/>
        <v>23</v>
      </c>
    </row>
    <row r="322" spans="2:11" x14ac:dyDescent="0.25">
      <c r="B322" s="276"/>
      <c r="C322" s="151" t="s">
        <v>102</v>
      </c>
      <c r="D322" s="319"/>
      <c r="E322" s="319"/>
      <c r="F322" s="349"/>
      <c r="G322" s="159" t="s">
        <v>72</v>
      </c>
      <c r="H322" s="131">
        <v>23</v>
      </c>
      <c r="I322" s="131"/>
      <c r="J322" s="189">
        <v>0</v>
      </c>
      <c r="K322" s="156">
        <f t="shared" si="18"/>
        <v>23</v>
      </c>
    </row>
    <row r="323" spans="2:11" x14ac:dyDescent="0.25">
      <c r="B323" s="276"/>
      <c r="C323" s="151" t="s">
        <v>146</v>
      </c>
      <c r="D323" s="319"/>
      <c r="E323" s="319"/>
      <c r="F323" s="349"/>
      <c r="G323" s="159" t="s">
        <v>72</v>
      </c>
      <c r="H323" s="131">
        <v>23</v>
      </c>
      <c r="I323" s="131"/>
      <c r="J323" s="189">
        <v>0</v>
      </c>
      <c r="K323" s="156">
        <f t="shared" si="18"/>
        <v>23</v>
      </c>
    </row>
    <row r="324" spans="2:11" x14ac:dyDescent="0.25">
      <c r="B324" s="277"/>
      <c r="C324" s="151" t="s">
        <v>147</v>
      </c>
      <c r="D324" s="320"/>
      <c r="E324" s="320"/>
      <c r="F324" s="350"/>
      <c r="G324" s="159" t="s">
        <v>72</v>
      </c>
      <c r="H324" s="131">
        <v>30</v>
      </c>
      <c r="I324" s="131"/>
      <c r="J324" s="189">
        <v>1</v>
      </c>
      <c r="K324" s="156">
        <f t="shared" si="18"/>
        <v>29</v>
      </c>
    </row>
    <row r="325" spans="2:11" x14ac:dyDescent="0.25">
      <c r="B325" s="275">
        <v>2</v>
      </c>
      <c r="C325" s="186" t="s">
        <v>69</v>
      </c>
      <c r="D325" s="318" t="s">
        <v>14</v>
      </c>
      <c r="E325" s="318" t="s">
        <v>26</v>
      </c>
      <c r="F325" s="348" t="s">
        <v>16</v>
      </c>
      <c r="G325" s="187" t="s">
        <v>43</v>
      </c>
      <c r="H325" s="188">
        <v>28</v>
      </c>
      <c r="I325" s="188"/>
      <c r="J325" s="189">
        <v>1</v>
      </c>
      <c r="K325" s="156">
        <f t="shared" ref="K325:K388" si="22">H325-J325</f>
        <v>27</v>
      </c>
    </row>
    <row r="326" spans="2:11" x14ac:dyDescent="0.25">
      <c r="B326" s="276"/>
      <c r="C326" s="151" t="s">
        <v>107</v>
      </c>
      <c r="D326" s="319"/>
      <c r="E326" s="319"/>
      <c r="F326" s="349"/>
      <c r="G326" s="159" t="s">
        <v>150</v>
      </c>
      <c r="H326" s="131">
        <v>24</v>
      </c>
      <c r="I326" s="131"/>
      <c r="J326" s="189">
        <v>0</v>
      </c>
      <c r="K326" s="156">
        <f t="shared" si="22"/>
        <v>24</v>
      </c>
    </row>
    <row r="327" spans="2:11" x14ac:dyDescent="0.25">
      <c r="B327" s="276"/>
      <c r="C327" s="151" t="s">
        <v>95</v>
      </c>
      <c r="D327" s="319"/>
      <c r="E327" s="319"/>
      <c r="F327" s="349"/>
      <c r="G327" s="159" t="s">
        <v>150</v>
      </c>
      <c r="H327" s="131">
        <v>20</v>
      </c>
      <c r="I327" s="131"/>
      <c r="J327" s="189">
        <v>0</v>
      </c>
      <c r="K327" s="156">
        <f t="shared" si="22"/>
        <v>20</v>
      </c>
    </row>
    <row r="328" spans="2:11" x14ac:dyDescent="0.25">
      <c r="B328" s="276"/>
      <c r="C328" s="151" t="s">
        <v>101</v>
      </c>
      <c r="D328" s="319"/>
      <c r="E328" s="319"/>
      <c r="F328" s="349"/>
      <c r="G328" s="159" t="s">
        <v>150</v>
      </c>
      <c r="H328" s="131">
        <v>28</v>
      </c>
      <c r="I328" s="131"/>
      <c r="J328" s="189">
        <v>0</v>
      </c>
      <c r="K328" s="156">
        <f t="shared" si="22"/>
        <v>28</v>
      </c>
    </row>
    <row r="329" spans="2:11" x14ac:dyDescent="0.25">
      <c r="B329" s="276"/>
      <c r="C329" s="151" t="s">
        <v>102</v>
      </c>
      <c r="D329" s="319"/>
      <c r="E329" s="319"/>
      <c r="F329" s="349"/>
      <c r="G329" s="159" t="s">
        <v>150</v>
      </c>
      <c r="H329" s="131">
        <v>28</v>
      </c>
      <c r="I329" s="131"/>
      <c r="J329" s="189">
        <v>1</v>
      </c>
      <c r="K329" s="156">
        <f t="shared" si="22"/>
        <v>27</v>
      </c>
    </row>
    <row r="330" spans="2:11" x14ac:dyDescent="0.25">
      <c r="B330" s="276"/>
      <c r="C330" s="151" t="s">
        <v>146</v>
      </c>
      <c r="D330" s="319"/>
      <c r="E330" s="319"/>
      <c r="F330" s="349"/>
      <c r="G330" s="159" t="s">
        <v>150</v>
      </c>
      <c r="H330" s="131">
        <v>27</v>
      </c>
      <c r="I330" s="131"/>
      <c r="J330" s="189">
        <v>1</v>
      </c>
      <c r="K330" s="156">
        <f t="shared" si="22"/>
        <v>26</v>
      </c>
    </row>
    <row r="331" spans="2:11" x14ac:dyDescent="0.25">
      <c r="B331" s="277"/>
      <c r="C331" s="151" t="s">
        <v>147</v>
      </c>
      <c r="D331" s="320"/>
      <c r="E331" s="320"/>
      <c r="F331" s="350"/>
      <c r="G331" s="159" t="s">
        <v>150</v>
      </c>
      <c r="H331" s="131">
        <v>19</v>
      </c>
      <c r="I331" s="131"/>
      <c r="J331" s="189">
        <v>0</v>
      </c>
      <c r="K331" s="156">
        <f t="shared" si="22"/>
        <v>19</v>
      </c>
    </row>
    <row r="332" spans="2:11" x14ac:dyDescent="0.25">
      <c r="B332" s="275">
        <v>2</v>
      </c>
      <c r="C332" s="190" t="s">
        <v>73</v>
      </c>
      <c r="D332" s="321" t="s">
        <v>14</v>
      </c>
      <c r="E332" s="321" t="s">
        <v>12</v>
      </c>
      <c r="F332" s="351" t="s">
        <v>16</v>
      </c>
      <c r="G332" s="191" t="s">
        <v>15</v>
      </c>
      <c r="H332" s="192">
        <v>23</v>
      </c>
      <c r="I332" s="192"/>
      <c r="J332" s="193">
        <v>1</v>
      </c>
      <c r="K332" s="156">
        <f t="shared" si="22"/>
        <v>22</v>
      </c>
    </row>
    <row r="333" spans="2:11" x14ac:dyDescent="0.25">
      <c r="B333" s="276"/>
      <c r="C333" s="151" t="s">
        <v>107</v>
      </c>
      <c r="D333" s="322"/>
      <c r="E333" s="322"/>
      <c r="F333" s="352"/>
      <c r="G333" s="159" t="s">
        <v>41</v>
      </c>
      <c r="H333" s="131">
        <v>20</v>
      </c>
      <c r="I333" s="131">
        <v>1</v>
      </c>
      <c r="J333" s="193"/>
      <c r="K333" s="156">
        <f>H333-J333-I333</f>
        <v>19</v>
      </c>
    </row>
    <row r="334" spans="2:11" x14ac:dyDescent="0.25">
      <c r="B334" s="276"/>
      <c r="C334" s="151" t="s">
        <v>95</v>
      </c>
      <c r="D334" s="322"/>
      <c r="E334" s="322"/>
      <c r="F334" s="352"/>
      <c r="G334" s="159" t="s">
        <v>41</v>
      </c>
      <c r="H334" s="131">
        <v>30</v>
      </c>
      <c r="I334" s="131">
        <v>1</v>
      </c>
      <c r="J334" s="193"/>
      <c r="K334" s="156">
        <f t="shared" ref="K334:K338" si="23">H334-J334-I334</f>
        <v>29</v>
      </c>
    </row>
    <row r="335" spans="2:11" x14ac:dyDescent="0.25">
      <c r="B335" s="276"/>
      <c r="C335" s="151" t="s">
        <v>101</v>
      </c>
      <c r="D335" s="322"/>
      <c r="E335" s="322"/>
      <c r="F335" s="352"/>
      <c r="G335" s="159" t="s">
        <v>41</v>
      </c>
      <c r="H335" s="131">
        <v>23</v>
      </c>
      <c r="I335" s="131">
        <v>1</v>
      </c>
      <c r="J335" s="193"/>
      <c r="K335" s="156">
        <f t="shared" si="23"/>
        <v>22</v>
      </c>
    </row>
    <row r="336" spans="2:11" x14ac:dyDescent="0.25">
      <c r="B336" s="276"/>
      <c r="C336" s="151" t="s">
        <v>138</v>
      </c>
      <c r="D336" s="322"/>
      <c r="E336" s="322"/>
      <c r="F336" s="352"/>
      <c r="G336" s="159" t="s">
        <v>41</v>
      </c>
      <c r="H336" s="131">
        <v>23</v>
      </c>
      <c r="I336" s="131">
        <v>1</v>
      </c>
      <c r="J336" s="193"/>
      <c r="K336" s="156">
        <f t="shared" si="23"/>
        <v>22</v>
      </c>
    </row>
    <row r="337" spans="2:11" x14ac:dyDescent="0.25">
      <c r="B337" s="276"/>
      <c r="C337" s="151" t="s">
        <v>97</v>
      </c>
      <c r="D337" s="322"/>
      <c r="E337" s="322"/>
      <c r="F337" s="352"/>
      <c r="G337" s="159" t="s">
        <v>41</v>
      </c>
      <c r="H337" s="131">
        <v>24</v>
      </c>
      <c r="I337" s="131">
        <v>1</v>
      </c>
      <c r="J337" s="193"/>
      <c r="K337" s="156">
        <f t="shared" si="23"/>
        <v>23</v>
      </c>
    </row>
    <row r="338" spans="2:11" x14ac:dyDescent="0.25">
      <c r="B338" s="277"/>
      <c r="C338" s="151" t="s">
        <v>151</v>
      </c>
      <c r="D338" s="323"/>
      <c r="E338" s="323"/>
      <c r="F338" s="353"/>
      <c r="G338" s="159" t="s">
        <v>41</v>
      </c>
      <c r="H338" s="131">
        <v>21</v>
      </c>
      <c r="I338" s="131">
        <v>1</v>
      </c>
      <c r="J338" s="193"/>
      <c r="K338" s="156">
        <f t="shared" si="23"/>
        <v>20</v>
      </c>
    </row>
    <row r="339" spans="2:11" x14ac:dyDescent="0.25">
      <c r="B339" s="275">
        <v>2</v>
      </c>
      <c r="C339" s="190" t="s">
        <v>73</v>
      </c>
      <c r="D339" s="321" t="s">
        <v>14</v>
      </c>
      <c r="E339" s="321" t="s">
        <v>12</v>
      </c>
      <c r="F339" s="351" t="s">
        <v>16</v>
      </c>
      <c r="G339" s="191" t="s">
        <v>43</v>
      </c>
      <c r="H339" s="192">
        <v>28</v>
      </c>
      <c r="I339" s="192"/>
      <c r="J339" s="193">
        <v>1</v>
      </c>
      <c r="K339" s="156">
        <f t="shared" si="22"/>
        <v>27</v>
      </c>
    </row>
    <row r="340" spans="2:11" x14ac:dyDescent="0.25">
      <c r="B340" s="276"/>
      <c r="C340" s="151" t="s">
        <v>107</v>
      </c>
      <c r="D340" s="322"/>
      <c r="E340" s="322"/>
      <c r="F340" s="352"/>
      <c r="G340" s="159" t="s">
        <v>44</v>
      </c>
      <c r="H340" s="131">
        <v>21</v>
      </c>
      <c r="I340" s="131"/>
      <c r="J340" s="193">
        <v>1</v>
      </c>
      <c r="K340" s="156">
        <f t="shared" si="22"/>
        <v>20</v>
      </c>
    </row>
    <row r="341" spans="2:11" x14ac:dyDescent="0.25">
      <c r="B341" s="276"/>
      <c r="C341" s="151" t="s">
        <v>95</v>
      </c>
      <c r="D341" s="322"/>
      <c r="E341" s="322"/>
      <c r="F341" s="352"/>
      <c r="G341" s="159" t="s">
        <v>44</v>
      </c>
      <c r="H341" s="131">
        <v>23</v>
      </c>
      <c r="I341" s="131"/>
      <c r="J341" s="193">
        <v>1</v>
      </c>
      <c r="K341" s="156">
        <f t="shared" si="22"/>
        <v>22</v>
      </c>
    </row>
    <row r="342" spans="2:11" x14ac:dyDescent="0.25">
      <c r="B342" s="276"/>
      <c r="C342" s="151" t="s">
        <v>101</v>
      </c>
      <c r="D342" s="322"/>
      <c r="E342" s="322"/>
      <c r="F342" s="352"/>
      <c r="G342" s="159" t="s">
        <v>44</v>
      </c>
      <c r="H342" s="131">
        <v>24</v>
      </c>
      <c r="I342" s="131"/>
      <c r="J342" s="193">
        <v>1</v>
      </c>
      <c r="K342" s="156">
        <f t="shared" si="22"/>
        <v>23</v>
      </c>
    </row>
    <row r="343" spans="2:11" x14ac:dyDescent="0.25">
      <c r="B343" s="276"/>
      <c r="C343" s="151" t="s">
        <v>138</v>
      </c>
      <c r="D343" s="322"/>
      <c r="E343" s="322"/>
      <c r="F343" s="352"/>
      <c r="G343" s="159" t="s">
        <v>44</v>
      </c>
      <c r="H343" s="131">
        <v>28</v>
      </c>
      <c r="I343" s="131"/>
      <c r="J343" s="193">
        <v>1</v>
      </c>
      <c r="K343" s="156">
        <f t="shared" si="22"/>
        <v>27</v>
      </c>
    </row>
    <row r="344" spans="2:11" x14ac:dyDescent="0.25">
      <c r="B344" s="276"/>
      <c r="C344" s="151" t="s">
        <v>97</v>
      </c>
      <c r="D344" s="322"/>
      <c r="E344" s="322"/>
      <c r="F344" s="352"/>
      <c r="G344" s="159" t="s">
        <v>44</v>
      </c>
      <c r="H344" s="131">
        <v>48</v>
      </c>
      <c r="I344" s="131"/>
      <c r="J344" s="193">
        <v>1</v>
      </c>
      <c r="K344" s="156">
        <f t="shared" si="22"/>
        <v>47</v>
      </c>
    </row>
    <row r="345" spans="2:11" x14ac:dyDescent="0.25">
      <c r="B345" s="277"/>
      <c r="C345" s="151" t="s">
        <v>151</v>
      </c>
      <c r="D345" s="323"/>
      <c r="E345" s="323"/>
      <c r="F345" s="353"/>
      <c r="G345" s="159" t="s">
        <v>44</v>
      </c>
      <c r="H345" s="131">
        <v>28</v>
      </c>
      <c r="I345" s="131"/>
      <c r="J345" s="193">
        <v>1</v>
      </c>
      <c r="K345" s="156">
        <f t="shared" si="22"/>
        <v>27</v>
      </c>
    </row>
    <row r="346" spans="2:11" x14ac:dyDescent="0.25">
      <c r="B346" s="275">
        <v>2</v>
      </c>
      <c r="C346" s="152" t="s">
        <v>73</v>
      </c>
      <c r="D346" s="324" t="s">
        <v>14</v>
      </c>
      <c r="E346" s="324" t="s">
        <v>17</v>
      </c>
      <c r="F346" s="284" t="s">
        <v>16</v>
      </c>
      <c r="G346" s="153" t="s">
        <v>15</v>
      </c>
      <c r="H346" s="154">
        <v>38</v>
      </c>
      <c r="I346" s="154"/>
      <c r="J346" s="155">
        <v>1</v>
      </c>
      <c r="K346" s="156">
        <f t="shared" si="22"/>
        <v>37</v>
      </c>
    </row>
    <row r="347" spans="2:11" x14ac:dyDescent="0.25">
      <c r="B347" s="276"/>
      <c r="C347" s="151" t="s">
        <v>107</v>
      </c>
      <c r="D347" s="325"/>
      <c r="E347" s="325"/>
      <c r="F347" s="285"/>
      <c r="G347" s="159" t="s">
        <v>27</v>
      </c>
      <c r="H347" s="131">
        <v>34</v>
      </c>
      <c r="I347" s="131"/>
      <c r="J347" s="155">
        <v>1</v>
      </c>
      <c r="K347" s="156">
        <f t="shared" si="22"/>
        <v>33</v>
      </c>
    </row>
    <row r="348" spans="2:11" x14ac:dyDescent="0.25">
      <c r="B348" s="276"/>
      <c r="C348" s="151" t="s">
        <v>95</v>
      </c>
      <c r="D348" s="325"/>
      <c r="E348" s="325"/>
      <c r="F348" s="285"/>
      <c r="G348" s="159" t="s">
        <v>27</v>
      </c>
      <c r="H348" s="131">
        <v>38</v>
      </c>
      <c r="I348" s="131"/>
      <c r="J348" s="155">
        <v>1</v>
      </c>
      <c r="K348" s="156">
        <f t="shared" si="22"/>
        <v>37</v>
      </c>
    </row>
    <row r="349" spans="2:11" x14ac:dyDescent="0.25">
      <c r="B349" s="276"/>
      <c r="C349" s="151" t="s">
        <v>101</v>
      </c>
      <c r="D349" s="325"/>
      <c r="E349" s="325"/>
      <c r="F349" s="285"/>
      <c r="G349" s="159" t="s">
        <v>27</v>
      </c>
      <c r="H349" s="131">
        <v>38</v>
      </c>
      <c r="I349" s="131"/>
      <c r="J349" s="155">
        <v>1</v>
      </c>
      <c r="K349" s="156">
        <f t="shared" si="22"/>
        <v>37</v>
      </c>
    </row>
    <row r="350" spans="2:11" x14ac:dyDescent="0.25">
      <c r="B350" s="276"/>
      <c r="C350" s="151" t="s">
        <v>138</v>
      </c>
      <c r="D350" s="325"/>
      <c r="E350" s="325"/>
      <c r="F350" s="285"/>
      <c r="G350" s="159" t="s">
        <v>27</v>
      </c>
      <c r="H350" s="131">
        <v>38</v>
      </c>
      <c r="I350" s="131"/>
      <c r="J350" s="155">
        <v>1</v>
      </c>
      <c r="K350" s="156">
        <f t="shared" si="22"/>
        <v>37</v>
      </c>
    </row>
    <row r="351" spans="2:11" x14ac:dyDescent="0.25">
      <c r="B351" s="276"/>
      <c r="C351" s="151" t="s">
        <v>97</v>
      </c>
      <c r="D351" s="325"/>
      <c r="E351" s="325"/>
      <c r="F351" s="285"/>
      <c r="G351" s="159" t="s">
        <v>27</v>
      </c>
      <c r="H351" s="131">
        <v>38</v>
      </c>
      <c r="I351" s="131"/>
      <c r="J351" s="155">
        <v>1</v>
      </c>
      <c r="K351" s="156">
        <f t="shared" si="22"/>
        <v>37</v>
      </c>
    </row>
    <row r="352" spans="2:11" x14ac:dyDescent="0.25">
      <c r="B352" s="277"/>
      <c r="C352" s="151" t="s">
        <v>151</v>
      </c>
      <c r="D352" s="326"/>
      <c r="E352" s="326"/>
      <c r="F352" s="286"/>
      <c r="G352" s="159" t="s">
        <v>27</v>
      </c>
      <c r="H352" s="131">
        <v>38</v>
      </c>
      <c r="I352" s="131"/>
      <c r="J352" s="155">
        <v>1</v>
      </c>
      <c r="K352" s="156">
        <f t="shared" si="22"/>
        <v>37</v>
      </c>
    </row>
    <row r="353" spans="2:11" x14ac:dyDescent="0.25">
      <c r="B353" s="275">
        <v>2</v>
      </c>
      <c r="C353" s="152" t="s">
        <v>73</v>
      </c>
      <c r="D353" s="324" t="s">
        <v>14</v>
      </c>
      <c r="E353" s="324" t="s">
        <v>17</v>
      </c>
      <c r="F353" s="284" t="s">
        <v>16</v>
      </c>
      <c r="G353" s="153" t="s">
        <v>43</v>
      </c>
      <c r="H353" s="154">
        <v>26</v>
      </c>
      <c r="I353" s="154"/>
      <c r="J353" s="155">
        <v>2</v>
      </c>
      <c r="K353" s="156">
        <f t="shared" si="22"/>
        <v>24</v>
      </c>
    </row>
    <row r="354" spans="2:11" x14ac:dyDescent="0.25">
      <c r="B354" s="276"/>
      <c r="C354" s="151" t="s">
        <v>107</v>
      </c>
      <c r="D354" s="325"/>
      <c r="E354" s="325"/>
      <c r="F354" s="285"/>
      <c r="G354" s="159" t="s">
        <v>46</v>
      </c>
      <c r="H354" s="131">
        <v>9</v>
      </c>
      <c r="I354" s="131"/>
      <c r="J354" s="155">
        <v>2</v>
      </c>
      <c r="K354" s="156">
        <f t="shared" si="22"/>
        <v>7</v>
      </c>
    </row>
    <row r="355" spans="2:11" x14ac:dyDescent="0.25">
      <c r="B355" s="276"/>
      <c r="C355" s="151" t="s">
        <v>95</v>
      </c>
      <c r="D355" s="325"/>
      <c r="E355" s="325"/>
      <c r="F355" s="285"/>
      <c r="G355" s="159" t="s">
        <v>46</v>
      </c>
      <c r="H355" s="131">
        <v>26</v>
      </c>
      <c r="I355" s="131"/>
      <c r="J355" s="155">
        <v>2</v>
      </c>
      <c r="K355" s="156">
        <f t="shared" si="22"/>
        <v>24</v>
      </c>
    </row>
    <row r="356" spans="2:11" x14ac:dyDescent="0.25">
      <c r="B356" s="276"/>
      <c r="C356" s="151" t="s">
        <v>101</v>
      </c>
      <c r="D356" s="325"/>
      <c r="E356" s="325"/>
      <c r="F356" s="285"/>
      <c r="G356" s="159" t="s">
        <v>46</v>
      </c>
      <c r="H356" s="131">
        <v>9</v>
      </c>
      <c r="I356" s="131"/>
      <c r="J356" s="155">
        <v>1</v>
      </c>
      <c r="K356" s="156">
        <f t="shared" si="22"/>
        <v>8</v>
      </c>
    </row>
    <row r="357" spans="2:11" x14ac:dyDescent="0.25">
      <c r="B357" s="276"/>
      <c r="C357" s="151" t="s">
        <v>138</v>
      </c>
      <c r="D357" s="325"/>
      <c r="E357" s="325"/>
      <c r="F357" s="285"/>
      <c r="G357" s="159" t="s">
        <v>46</v>
      </c>
      <c r="H357" s="131">
        <v>20</v>
      </c>
      <c r="I357" s="131"/>
      <c r="J357" s="155">
        <v>1</v>
      </c>
      <c r="K357" s="156">
        <f t="shared" si="22"/>
        <v>19</v>
      </c>
    </row>
    <row r="358" spans="2:11" x14ac:dyDescent="0.25">
      <c r="B358" s="276"/>
      <c r="C358" s="151" t="s">
        <v>97</v>
      </c>
      <c r="D358" s="325"/>
      <c r="E358" s="325"/>
      <c r="F358" s="285"/>
      <c r="G358" s="159" t="s">
        <v>46</v>
      </c>
      <c r="H358" s="131">
        <v>34</v>
      </c>
      <c r="I358" s="131"/>
      <c r="J358" s="155">
        <v>2</v>
      </c>
      <c r="K358" s="156">
        <f t="shared" si="22"/>
        <v>32</v>
      </c>
    </row>
    <row r="359" spans="2:11" x14ac:dyDescent="0.25">
      <c r="B359" s="277"/>
      <c r="C359" s="151" t="s">
        <v>151</v>
      </c>
      <c r="D359" s="326"/>
      <c r="E359" s="326"/>
      <c r="F359" s="286"/>
      <c r="G359" s="159" t="s">
        <v>46</v>
      </c>
      <c r="H359" s="131">
        <v>30</v>
      </c>
      <c r="I359" s="131"/>
      <c r="J359" s="155">
        <v>1</v>
      </c>
      <c r="K359" s="156">
        <f t="shared" si="22"/>
        <v>29</v>
      </c>
    </row>
    <row r="360" spans="2:11" x14ac:dyDescent="0.25">
      <c r="B360" s="275">
        <v>2</v>
      </c>
      <c r="C360" s="152" t="s">
        <v>73</v>
      </c>
      <c r="D360" s="324" t="s">
        <v>14</v>
      </c>
      <c r="E360" s="324" t="s">
        <v>17</v>
      </c>
      <c r="F360" s="284" t="s">
        <v>16</v>
      </c>
      <c r="G360" s="153" t="s">
        <v>48</v>
      </c>
      <c r="H360" s="154">
        <v>21</v>
      </c>
      <c r="I360" s="154"/>
      <c r="J360" s="155">
        <v>1</v>
      </c>
      <c r="K360" s="156">
        <f t="shared" si="22"/>
        <v>20</v>
      </c>
    </row>
    <row r="361" spans="2:11" x14ac:dyDescent="0.25">
      <c r="B361" s="276"/>
      <c r="C361" s="151" t="s">
        <v>107</v>
      </c>
      <c r="D361" s="325"/>
      <c r="E361" s="325"/>
      <c r="F361" s="285"/>
      <c r="G361" s="159" t="s">
        <v>141</v>
      </c>
      <c r="H361" s="131">
        <v>9</v>
      </c>
      <c r="I361" s="131"/>
      <c r="J361" s="155">
        <v>1</v>
      </c>
      <c r="K361" s="156">
        <f t="shared" si="22"/>
        <v>8</v>
      </c>
    </row>
    <row r="362" spans="2:11" x14ac:dyDescent="0.25">
      <c r="B362" s="276"/>
      <c r="C362" s="151" t="s">
        <v>95</v>
      </c>
      <c r="D362" s="325"/>
      <c r="E362" s="325"/>
      <c r="F362" s="285"/>
      <c r="G362" s="159" t="s">
        <v>141</v>
      </c>
      <c r="H362" s="131">
        <v>18</v>
      </c>
      <c r="I362" s="131"/>
      <c r="J362" s="155">
        <v>1</v>
      </c>
      <c r="K362" s="156">
        <f t="shared" si="22"/>
        <v>17</v>
      </c>
    </row>
    <row r="363" spans="2:11" x14ac:dyDescent="0.25">
      <c r="B363" s="276"/>
      <c r="C363" s="151" t="s">
        <v>101</v>
      </c>
      <c r="D363" s="325"/>
      <c r="E363" s="325"/>
      <c r="F363" s="285"/>
      <c r="G363" s="159" t="s">
        <v>141</v>
      </c>
      <c r="H363" s="131">
        <v>32</v>
      </c>
      <c r="I363" s="131"/>
      <c r="J363" s="155">
        <v>2</v>
      </c>
      <c r="K363" s="156">
        <f t="shared" si="22"/>
        <v>30</v>
      </c>
    </row>
    <row r="364" spans="2:11" x14ac:dyDescent="0.25">
      <c r="B364" s="276"/>
      <c r="C364" s="151" t="s">
        <v>138</v>
      </c>
      <c r="D364" s="325"/>
      <c r="E364" s="325"/>
      <c r="F364" s="285"/>
      <c r="G364" s="159" t="s">
        <v>141</v>
      </c>
      <c r="H364" s="131">
        <v>38</v>
      </c>
      <c r="I364" s="131"/>
      <c r="J364" s="155">
        <v>2</v>
      </c>
      <c r="K364" s="156">
        <f t="shared" si="22"/>
        <v>36</v>
      </c>
    </row>
    <row r="365" spans="2:11" x14ac:dyDescent="0.25">
      <c r="B365" s="276"/>
      <c r="C365" s="151" t="s">
        <v>97</v>
      </c>
      <c r="D365" s="325"/>
      <c r="E365" s="325"/>
      <c r="F365" s="285"/>
      <c r="G365" s="159" t="s">
        <v>141</v>
      </c>
      <c r="H365" s="131">
        <v>21</v>
      </c>
      <c r="I365" s="131"/>
      <c r="J365" s="155">
        <v>1</v>
      </c>
      <c r="K365" s="156">
        <f t="shared" si="22"/>
        <v>20</v>
      </c>
    </row>
    <row r="366" spans="2:11" x14ac:dyDescent="0.25">
      <c r="B366" s="277"/>
      <c r="C366" s="151" t="s">
        <v>151</v>
      </c>
      <c r="D366" s="326"/>
      <c r="E366" s="326"/>
      <c r="F366" s="286"/>
      <c r="G366" s="159" t="s">
        <v>141</v>
      </c>
      <c r="H366" s="131">
        <v>30</v>
      </c>
      <c r="I366" s="131"/>
      <c r="J366" s="155">
        <v>2</v>
      </c>
      <c r="K366" s="156">
        <f t="shared" si="22"/>
        <v>28</v>
      </c>
    </row>
    <row r="367" spans="2:11" x14ac:dyDescent="0.25">
      <c r="B367" s="275">
        <v>2</v>
      </c>
      <c r="C367" s="152" t="s">
        <v>73</v>
      </c>
      <c r="D367" s="324" t="s">
        <v>14</v>
      </c>
      <c r="E367" s="324" t="s">
        <v>17</v>
      </c>
      <c r="F367" s="284" t="s">
        <v>16</v>
      </c>
      <c r="G367" s="153" t="s">
        <v>50</v>
      </c>
      <c r="H367" s="154">
        <v>31</v>
      </c>
      <c r="I367" s="154"/>
      <c r="J367" s="155">
        <v>1</v>
      </c>
      <c r="K367" s="156">
        <f t="shared" si="22"/>
        <v>30</v>
      </c>
    </row>
    <row r="368" spans="2:11" x14ac:dyDescent="0.25">
      <c r="B368" s="276"/>
      <c r="C368" s="151" t="s">
        <v>107</v>
      </c>
      <c r="D368" s="325"/>
      <c r="E368" s="325"/>
      <c r="F368" s="285"/>
      <c r="G368" s="159" t="s">
        <v>152</v>
      </c>
      <c r="H368" s="131">
        <v>30</v>
      </c>
      <c r="I368" s="131"/>
      <c r="J368" s="155">
        <v>0</v>
      </c>
      <c r="K368" s="156">
        <f t="shared" si="22"/>
        <v>30</v>
      </c>
    </row>
    <row r="369" spans="2:11" x14ac:dyDescent="0.25">
      <c r="B369" s="276"/>
      <c r="C369" s="151" t="s">
        <v>95</v>
      </c>
      <c r="D369" s="325"/>
      <c r="E369" s="325"/>
      <c r="F369" s="285"/>
      <c r="G369" s="159" t="s">
        <v>152</v>
      </c>
      <c r="H369" s="131">
        <v>32</v>
      </c>
      <c r="I369" s="131"/>
      <c r="J369" s="155">
        <v>0</v>
      </c>
      <c r="K369" s="156">
        <f t="shared" si="22"/>
        <v>32</v>
      </c>
    </row>
    <row r="370" spans="2:11" x14ac:dyDescent="0.25">
      <c r="B370" s="276"/>
      <c r="C370" s="151" t="s">
        <v>101</v>
      </c>
      <c r="D370" s="325"/>
      <c r="E370" s="325"/>
      <c r="F370" s="285"/>
      <c r="G370" s="159" t="s">
        <v>152</v>
      </c>
      <c r="H370" s="131">
        <v>38</v>
      </c>
      <c r="I370" s="131"/>
      <c r="J370" s="155">
        <v>0</v>
      </c>
      <c r="K370" s="156">
        <f t="shared" si="22"/>
        <v>38</v>
      </c>
    </row>
    <row r="371" spans="2:11" x14ac:dyDescent="0.25">
      <c r="B371" s="276"/>
      <c r="C371" s="151" t="s">
        <v>138</v>
      </c>
      <c r="D371" s="325"/>
      <c r="E371" s="325"/>
      <c r="F371" s="285"/>
      <c r="G371" s="159" t="s">
        <v>152</v>
      </c>
      <c r="H371" s="131">
        <v>22</v>
      </c>
      <c r="I371" s="131"/>
      <c r="J371" s="155">
        <v>0</v>
      </c>
      <c r="K371" s="156">
        <f t="shared" si="22"/>
        <v>22</v>
      </c>
    </row>
    <row r="372" spans="2:11" x14ac:dyDescent="0.25">
      <c r="B372" s="276"/>
      <c r="C372" s="151" t="s">
        <v>97</v>
      </c>
      <c r="D372" s="325"/>
      <c r="E372" s="325"/>
      <c r="F372" s="285"/>
      <c r="G372" s="159" t="s">
        <v>152</v>
      </c>
      <c r="H372" s="131">
        <v>25</v>
      </c>
      <c r="I372" s="131"/>
      <c r="J372" s="155">
        <v>1</v>
      </c>
      <c r="K372" s="156">
        <f t="shared" si="22"/>
        <v>24</v>
      </c>
    </row>
    <row r="373" spans="2:11" x14ac:dyDescent="0.25">
      <c r="B373" s="277"/>
      <c r="C373" s="151" t="s">
        <v>151</v>
      </c>
      <c r="D373" s="326"/>
      <c r="E373" s="326"/>
      <c r="F373" s="286"/>
      <c r="G373" s="159" t="s">
        <v>152</v>
      </c>
      <c r="H373" s="131">
        <v>31</v>
      </c>
      <c r="I373" s="131"/>
      <c r="J373" s="155">
        <v>1</v>
      </c>
      <c r="K373" s="156">
        <f t="shared" si="22"/>
        <v>30</v>
      </c>
    </row>
    <row r="374" spans="2:11" x14ac:dyDescent="0.25">
      <c r="B374" s="275">
        <v>2</v>
      </c>
      <c r="C374" s="194" t="s">
        <v>75</v>
      </c>
      <c r="D374" s="336" t="s">
        <v>14</v>
      </c>
      <c r="E374" s="336" t="s">
        <v>12</v>
      </c>
      <c r="F374" s="357" t="s">
        <v>16</v>
      </c>
      <c r="G374" s="195" t="s">
        <v>15</v>
      </c>
      <c r="H374" s="196">
        <v>18</v>
      </c>
      <c r="I374" s="196"/>
      <c r="J374" s="197">
        <v>2</v>
      </c>
      <c r="K374" s="156">
        <f t="shared" si="22"/>
        <v>16</v>
      </c>
    </row>
    <row r="375" spans="2:11" x14ac:dyDescent="0.25">
      <c r="B375" s="276"/>
      <c r="C375" s="151" t="s">
        <v>107</v>
      </c>
      <c r="D375" s="337"/>
      <c r="E375" s="337"/>
      <c r="F375" s="358"/>
      <c r="G375" s="159" t="s">
        <v>114</v>
      </c>
      <c r="H375" s="131">
        <v>14</v>
      </c>
      <c r="I375" s="131"/>
      <c r="J375" s="197">
        <v>2</v>
      </c>
      <c r="K375" s="156">
        <f t="shared" si="22"/>
        <v>12</v>
      </c>
    </row>
    <row r="376" spans="2:11" x14ac:dyDescent="0.25">
      <c r="B376" s="276"/>
      <c r="C376" s="151" t="s">
        <v>126</v>
      </c>
      <c r="D376" s="337"/>
      <c r="E376" s="337"/>
      <c r="F376" s="358"/>
      <c r="G376" s="159" t="s">
        <v>114</v>
      </c>
      <c r="H376" s="131">
        <v>40</v>
      </c>
      <c r="I376" s="131"/>
      <c r="J376" s="197">
        <v>2</v>
      </c>
      <c r="K376" s="156">
        <f t="shared" si="22"/>
        <v>38</v>
      </c>
    </row>
    <row r="377" spans="2:11" x14ac:dyDescent="0.25">
      <c r="B377" s="276"/>
      <c r="C377" s="151" t="s">
        <v>153</v>
      </c>
      <c r="D377" s="337"/>
      <c r="E377" s="337"/>
      <c r="F377" s="358"/>
      <c r="G377" s="159" t="s">
        <v>114</v>
      </c>
      <c r="H377" s="131">
        <v>18</v>
      </c>
      <c r="I377" s="131"/>
      <c r="J377" s="197">
        <v>2</v>
      </c>
      <c r="K377" s="156">
        <f t="shared" si="22"/>
        <v>16</v>
      </c>
    </row>
    <row r="378" spans="2:11" x14ac:dyDescent="0.25">
      <c r="B378" s="276"/>
      <c r="C378" s="151" t="s">
        <v>128</v>
      </c>
      <c r="D378" s="337"/>
      <c r="E378" s="337"/>
      <c r="F378" s="358"/>
      <c r="G378" s="159" t="s">
        <v>114</v>
      </c>
      <c r="H378" s="131">
        <v>21</v>
      </c>
      <c r="I378" s="131"/>
      <c r="J378" s="197">
        <v>2</v>
      </c>
      <c r="K378" s="156">
        <f t="shared" si="22"/>
        <v>19</v>
      </c>
    </row>
    <row r="379" spans="2:11" x14ac:dyDescent="0.25">
      <c r="B379" s="276"/>
      <c r="C379" s="151" t="s">
        <v>115</v>
      </c>
      <c r="D379" s="337"/>
      <c r="E379" s="337"/>
      <c r="F379" s="358"/>
      <c r="G379" s="159" t="s">
        <v>114</v>
      </c>
      <c r="H379" s="131">
        <v>18</v>
      </c>
      <c r="I379" s="131"/>
      <c r="J379" s="197">
        <v>2</v>
      </c>
      <c r="K379" s="156">
        <f t="shared" si="22"/>
        <v>16</v>
      </c>
    </row>
    <row r="380" spans="2:11" x14ac:dyDescent="0.25">
      <c r="B380" s="277"/>
      <c r="C380" s="151" t="s">
        <v>151</v>
      </c>
      <c r="D380" s="338"/>
      <c r="E380" s="338"/>
      <c r="F380" s="359"/>
      <c r="G380" s="159" t="s">
        <v>114</v>
      </c>
      <c r="H380" s="131">
        <v>21</v>
      </c>
      <c r="I380" s="131"/>
      <c r="J380" s="197">
        <v>2</v>
      </c>
      <c r="K380" s="156">
        <f t="shared" si="22"/>
        <v>19</v>
      </c>
    </row>
    <row r="381" spans="2:11" x14ac:dyDescent="0.25">
      <c r="B381" s="275">
        <v>2</v>
      </c>
      <c r="C381" s="194" t="s">
        <v>75</v>
      </c>
      <c r="D381" s="336" t="s">
        <v>14</v>
      </c>
      <c r="E381" s="336" t="s">
        <v>12</v>
      </c>
      <c r="F381" s="357" t="s">
        <v>16</v>
      </c>
      <c r="G381" s="195" t="s">
        <v>43</v>
      </c>
      <c r="H381" s="196">
        <v>27</v>
      </c>
      <c r="I381" s="196"/>
      <c r="J381" s="197">
        <v>0</v>
      </c>
      <c r="K381" s="156">
        <f t="shared" si="22"/>
        <v>27</v>
      </c>
    </row>
    <row r="382" spans="2:11" x14ac:dyDescent="0.25">
      <c r="B382" s="276"/>
      <c r="C382" s="151" t="s">
        <v>107</v>
      </c>
      <c r="D382" s="337"/>
      <c r="E382" s="337"/>
      <c r="F382" s="358"/>
      <c r="G382" s="159" t="s">
        <v>118</v>
      </c>
      <c r="H382" s="131">
        <v>25</v>
      </c>
      <c r="I382" s="131"/>
      <c r="J382" s="197">
        <v>0</v>
      </c>
      <c r="K382" s="156">
        <f t="shared" si="22"/>
        <v>25</v>
      </c>
    </row>
    <row r="383" spans="2:11" x14ac:dyDescent="0.25">
      <c r="B383" s="276"/>
      <c r="C383" s="151" t="s">
        <v>126</v>
      </c>
      <c r="D383" s="337"/>
      <c r="E383" s="337"/>
      <c r="F383" s="358"/>
      <c r="G383" s="159" t="s">
        <v>118</v>
      </c>
      <c r="H383" s="131">
        <v>6</v>
      </c>
      <c r="I383" s="131"/>
      <c r="J383" s="197">
        <v>0</v>
      </c>
      <c r="K383" s="156">
        <f t="shared" si="22"/>
        <v>6</v>
      </c>
    </row>
    <row r="384" spans="2:11" x14ac:dyDescent="0.25">
      <c r="B384" s="276"/>
      <c r="C384" s="151" t="s">
        <v>153</v>
      </c>
      <c r="D384" s="337"/>
      <c r="E384" s="337"/>
      <c r="F384" s="358"/>
      <c r="G384" s="159" t="s">
        <v>118</v>
      </c>
      <c r="H384" s="131">
        <v>27</v>
      </c>
      <c r="I384" s="131"/>
      <c r="J384" s="197">
        <v>0</v>
      </c>
      <c r="K384" s="156">
        <f t="shared" si="22"/>
        <v>27</v>
      </c>
    </row>
    <row r="385" spans="2:11" x14ac:dyDescent="0.25">
      <c r="B385" s="276"/>
      <c r="C385" s="151" t="s">
        <v>128</v>
      </c>
      <c r="D385" s="337"/>
      <c r="E385" s="337"/>
      <c r="F385" s="358"/>
      <c r="G385" s="159" t="s">
        <v>118</v>
      </c>
      <c r="H385" s="131">
        <v>27</v>
      </c>
      <c r="I385" s="131"/>
      <c r="J385" s="197">
        <v>0</v>
      </c>
      <c r="K385" s="156">
        <f t="shared" si="22"/>
        <v>27</v>
      </c>
    </row>
    <row r="386" spans="2:11" x14ac:dyDescent="0.25">
      <c r="B386" s="276"/>
      <c r="C386" s="151" t="s">
        <v>115</v>
      </c>
      <c r="D386" s="337"/>
      <c r="E386" s="337"/>
      <c r="F386" s="358"/>
      <c r="G386" s="159" t="s">
        <v>118</v>
      </c>
      <c r="H386" s="131">
        <v>24</v>
      </c>
      <c r="I386" s="131"/>
      <c r="J386" s="197">
        <v>0</v>
      </c>
      <c r="K386" s="156">
        <f t="shared" si="22"/>
        <v>24</v>
      </c>
    </row>
    <row r="387" spans="2:11" x14ac:dyDescent="0.25">
      <c r="B387" s="277"/>
      <c r="C387" s="151" t="s">
        <v>151</v>
      </c>
      <c r="D387" s="338"/>
      <c r="E387" s="338"/>
      <c r="F387" s="359"/>
      <c r="G387" s="159" t="s">
        <v>118</v>
      </c>
      <c r="H387" s="131">
        <v>19</v>
      </c>
      <c r="I387" s="131"/>
      <c r="J387" s="197">
        <v>0</v>
      </c>
      <c r="K387" s="156">
        <f t="shared" si="22"/>
        <v>19</v>
      </c>
    </row>
    <row r="388" spans="2:11" x14ac:dyDescent="0.25">
      <c r="B388" s="275">
        <v>2</v>
      </c>
      <c r="C388" s="194" t="s">
        <v>75</v>
      </c>
      <c r="D388" s="336" t="s">
        <v>14</v>
      </c>
      <c r="E388" s="336" t="s">
        <v>12</v>
      </c>
      <c r="F388" s="357" t="s">
        <v>25</v>
      </c>
      <c r="G388" s="195" t="s">
        <v>48</v>
      </c>
      <c r="H388" s="196">
        <v>11</v>
      </c>
      <c r="I388" s="196"/>
      <c r="J388" s="197">
        <v>1</v>
      </c>
      <c r="K388" s="156">
        <f t="shared" si="22"/>
        <v>10</v>
      </c>
    </row>
    <row r="389" spans="2:11" x14ac:dyDescent="0.25">
      <c r="B389" s="276"/>
      <c r="C389" s="151" t="s">
        <v>107</v>
      </c>
      <c r="D389" s="337"/>
      <c r="E389" s="337"/>
      <c r="F389" s="358"/>
      <c r="G389" s="159" t="s">
        <v>118</v>
      </c>
      <c r="H389" s="131">
        <v>15</v>
      </c>
      <c r="I389" s="131"/>
      <c r="J389" s="197">
        <v>1</v>
      </c>
      <c r="K389" s="156">
        <f t="shared" ref="K389:K452" si="24">H389-J389</f>
        <v>14</v>
      </c>
    </row>
    <row r="390" spans="2:11" x14ac:dyDescent="0.25">
      <c r="B390" s="276"/>
      <c r="C390" s="151" t="s">
        <v>126</v>
      </c>
      <c r="D390" s="337"/>
      <c r="E390" s="337"/>
      <c r="F390" s="358"/>
      <c r="G390" s="159" t="s">
        <v>118</v>
      </c>
      <c r="H390" s="131">
        <v>11</v>
      </c>
      <c r="I390" s="131"/>
      <c r="J390" s="197">
        <v>1</v>
      </c>
      <c r="K390" s="156">
        <f t="shared" si="24"/>
        <v>10</v>
      </c>
    </row>
    <row r="391" spans="2:11" x14ac:dyDescent="0.25">
      <c r="B391" s="276"/>
      <c r="C391" s="151" t="s">
        <v>153</v>
      </c>
      <c r="D391" s="337"/>
      <c r="E391" s="337"/>
      <c r="F391" s="358"/>
      <c r="G391" s="159" t="s">
        <v>118</v>
      </c>
      <c r="H391" s="131">
        <v>11</v>
      </c>
      <c r="I391" s="131"/>
      <c r="J391" s="197">
        <v>1</v>
      </c>
      <c r="K391" s="156">
        <f t="shared" si="24"/>
        <v>10</v>
      </c>
    </row>
    <row r="392" spans="2:11" x14ac:dyDescent="0.25">
      <c r="B392" s="276"/>
      <c r="C392" s="151" t="s">
        <v>128</v>
      </c>
      <c r="D392" s="337"/>
      <c r="E392" s="337"/>
      <c r="F392" s="358"/>
      <c r="G392" s="159" t="s">
        <v>118</v>
      </c>
      <c r="H392" s="131">
        <v>7</v>
      </c>
      <c r="I392" s="131"/>
      <c r="J392" s="197">
        <v>1</v>
      </c>
      <c r="K392" s="156">
        <f t="shared" si="24"/>
        <v>6</v>
      </c>
    </row>
    <row r="393" spans="2:11" x14ac:dyDescent="0.25">
      <c r="B393" s="276"/>
      <c r="C393" s="151" t="s">
        <v>115</v>
      </c>
      <c r="D393" s="337"/>
      <c r="E393" s="337"/>
      <c r="F393" s="358"/>
      <c r="G393" s="159" t="s">
        <v>118</v>
      </c>
      <c r="H393" s="131">
        <v>14</v>
      </c>
      <c r="I393" s="131"/>
      <c r="J393" s="197">
        <v>1</v>
      </c>
      <c r="K393" s="156">
        <f t="shared" si="24"/>
        <v>13</v>
      </c>
    </row>
    <row r="394" spans="2:11" x14ac:dyDescent="0.25">
      <c r="B394" s="277"/>
      <c r="C394" s="151" t="s">
        <v>151</v>
      </c>
      <c r="D394" s="338"/>
      <c r="E394" s="338"/>
      <c r="F394" s="359"/>
      <c r="G394" s="159" t="s">
        <v>118</v>
      </c>
      <c r="H394" s="131">
        <v>21</v>
      </c>
      <c r="I394" s="131"/>
      <c r="J394" s="197">
        <v>1</v>
      </c>
      <c r="K394" s="156">
        <f t="shared" si="24"/>
        <v>20</v>
      </c>
    </row>
    <row r="395" spans="2:11" x14ac:dyDescent="0.25">
      <c r="B395" s="275">
        <v>2</v>
      </c>
      <c r="C395" s="152" t="s">
        <v>75</v>
      </c>
      <c r="D395" s="324" t="s">
        <v>14</v>
      </c>
      <c r="E395" s="324" t="s">
        <v>1</v>
      </c>
      <c r="F395" s="284" t="s">
        <v>16</v>
      </c>
      <c r="G395" s="153" t="s">
        <v>15</v>
      </c>
      <c r="H395" s="154">
        <v>26</v>
      </c>
      <c r="I395" s="154"/>
      <c r="J395" s="155">
        <v>3</v>
      </c>
      <c r="K395" s="156">
        <f t="shared" si="24"/>
        <v>23</v>
      </c>
    </row>
    <row r="396" spans="2:11" x14ac:dyDescent="0.25">
      <c r="B396" s="276"/>
      <c r="C396" s="151" t="s">
        <v>107</v>
      </c>
      <c r="D396" s="325"/>
      <c r="E396" s="325"/>
      <c r="F396" s="285"/>
      <c r="G396" s="159" t="s">
        <v>111</v>
      </c>
      <c r="H396" s="131">
        <v>20</v>
      </c>
      <c r="I396" s="131"/>
      <c r="J396" s="155">
        <v>3</v>
      </c>
      <c r="K396" s="156">
        <f t="shared" si="24"/>
        <v>17</v>
      </c>
    </row>
    <row r="397" spans="2:11" x14ac:dyDescent="0.25">
      <c r="B397" s="276"/>
      <c r="C397" s="151" t="s">
        <v>126</v>
      </c>
      <c r="D397" s="325"/>
      <c r="E397" s="325"/>
      <c r="F397" s="285"/>
      <c r="G397" s="159" t="s">
        <v>111</v>
      </c>
      <c r="H397" s="131">
        <v>29</v>
      </c>
      <c r="I397" s="131"/>
      <c r="J397" s="155">
        <v>3</v>
      </c>
      <c r="K397" s="156">
        <f t="shared" si="24"/>
        <v>26</v>
      </c>
    </row>
    <row r="398" spans="2:11" x14ac:dyDescent="0.25">
      <c r="B398" s="276"/>
      <c r="C398" s="151" t="s">
        <v>153</v>
      </c>
      <c r="D398" s="325"/>
      <c r="E398" s="325"/>
      <c r="F398" s="285"/>
      <c r="G398" s="159" t="s">
        <v>111</v>
      </c>
      <c r="H398" s="131">
        <v>26</v>
      </c>
      <c r="I398" s="131"/>
      <c r="J398" s="155">
        <v>3</v>
      </c>
      <c r="K398" s="156">
        <f t="shared" si="24"/>
        <v>23</v>
      </c>
    </row>
    <row r="399" spans="2:11" x14ac:dyDescent="0.25">
      <c r="B399" s="276"/>
      <c r="C399" s="151" t="s">
        <v>128</v>
      </c>
      <c r="D399" s="325"/>
      <c r="E399" s="325"/>
      <c r="F399" s="285"/>
      <c r="G399" s="159" t="s">
        <v>111</v>
      </c>
      <c r="H399" s="131">
        <v>26</v>
      </c>
      <c r="I399" s="131"/>
      <c r="J399" s="155">
        <v>3</v>
      </c>
      <c r="K399" s="156">
        <f t="shared" si="24"/>
        <v>23</v>
      </c>
    </row>
    <row r="400" spans="2:11" x14ac:dyDescent="0.25">
      <c r="B400" s="276"/>
      <c r="C400" s="151" t="s">
        <v>115</v>
      </c>
      <c r="D400" s="325"/>
      <c r="E400" s="325"/>
      <c r="F400" s="285"/>
      <c r="G400" s="159" t="s">
        <v>111</v>
      </c>
      <c r="H400" s="131">
        <v>26</v>
      </c>
      <c r="I400" s="131"/>
      <c r="J400" s="155">
        <v>3</v>
      </c>
      <c r="K400" s="156">
        <f t="shared" si="24"/>
        <v>23</v>
      </c>
    </row>
    <row r="401" spans="2:11" x14ac:dyDescent="0.25">
      <c r="B401" s="277"/>
      <c r="C401" s="151" t="s">
        <v>151</v>
      </c>
      <c r="D401" s="326"/>
      <c r="E401" s="326"/>
      <c r="F401" s="286"/>
      <c r="G401" s="159" t="s">
        <v>111</v>
      </c>
      <c r="H401" s="131">
        <v>21</v>
      </c>
      <c r="I401" s="131"/>
      <c r="J401" s="155">
        <v>3</v>
      </c>
      <c r="K401" s="156">
        <f t="shared" si="24"/>
        <v>18</v>
      </c>
    </row>
    <row r="402" spans="2:11" x14ac:dyDescent="0.25">
      <c r="B402" s="275">
        <v>2</v>
      </c>
      <c r="C402" s="152" t="s">
        <v>75</v>
      </c>
      <c r="D402" s="324" t="s">
        <v>14</v>
      </c>
      <c r="E402" s="324" t="s">
        <v>1</v>
      </c>
      <c r="F402" s="284" t="s">
        <v>16</v>
      </c>
      <c r="G402" s="153" t="s">
        <v>43</v>
      </c>
      <c r="H402" s="154">
        <v>20</v>
      </c>
      <c r="I402" s="154"/>
      <c r="J402" s="155">
        <v>1</v>
      </c>
      <c r="K402" s="156">
        <f t="shared" si="24"/>
        <v>19</v>
      </c>
    </row>
    <row r="403" spans="2:11" x14ac:dyDescent="0.25">
      <c r="B403" s="276"/>
      <c r="C403" s="151" t="s">
        <v>107</v>
      </c>
      <c r="D403" s="325"/>
      <c r="E403" s="325"/>
      <c r="F403" s="285"/>
      <c r="G403" s="159" t="s">
        <v>45</v>
      </c>
      <c r="H403" s="131">
        <v>19</v>
      </c>
      <c r="I403" s="131"/>
      <c r="J403" s="155">
        <v>1</v>
      </c>
      <c r="K403" s="156">
        <f t="shared" si="24"/>
        <v>18</v>
      </c>
    </row>
    <row r="404" spans="2:11" x14ac:dyDescent="0.25">
      <c r="B404" s="276"/>
      <c r="C404" s="151" t="s">
        <v>126</v>
      </c>
      <c r="D404" s="325"/>
      <c r="E404" s="325"/>
      <c r="F404" s="285"/>
      <c r="G404" s="159" t="s">
        <v>45</v>
      </c>
      <c r="H404" s="131">
        <v>16</v>
      </c>
      <c r="I404" s="131"/>
      <c r="J404" s="155">
        <v>1</v>
      </c>
      <c r="K404" s="156">
        <f>H404-J404</f>
        <v>15</v>
      </c>
    </row>
    <row r="405" spans="2:11" x14ac:dyDescent="0.25">
      <c r="B405" s="276"/>
      <c r="C405" s="151" t="s">
        <v>153</v>
      </c>
      <c r="D405" s="325"/>
      <c r="E405" s="325"/>
      <c r="F405" s="285"/>
      <c r="G405" s="159" t="s">
        <v>45</v>
      </c>
      <c r="H405" s="131">
        <v>22</v>
      </c>
      <c r="I405" s="131"/>
      <c r="J405" s="155">
        <v>1</v>
      </c>
      <c r="K405" s="156">
        <f t="shared" si="24"/>
        <v>21</v>
      </c>
    </row>
    <row r="406" spans="2:11" x14ac:dyDescent="0.25">
      <c r="B406" s="276"/>
      <c r="C406" s="151" t="s">
        <v>128</v>
      </c>
      <c r="D406" s="325"/>
      <c r="E406" s="325"/>
      <c r="F406" s="285"/>
      <c r="G406" s="159" t="s">
        <v>45</v>
      </c>
      <c r="H406" s="131">
        <v>20</v>
      </c>
      <c r="I406" s="131"/>
      <c r="J406" s="155">
        <v>1</v>
      </c>
      <c r="K406" s="156">
        <f t="shared" si="24"/>
        <v>19</v>
      </c>
    </row>
    <row r="407" spans="2:11" x14ac:dyDescent="0.25">
      <c r="B407" s="276"/>
      <c r="C407" s="151" t="s">
        <v>115</v>
      </c>
      <c r="D407" s="325"/>
      <c r="E407" s="325"/>
      <c r="F407" s="285"/>
      <c r="G407" s="159" t="s">
        <v>45</v>
      </c>
      <c r="H407" s="131">
        <v>20</v>
      </c>
      <c r="I407" s="131"/>
      <c r="J407" s="155">
        <v>1</v>
      </c>
      <c r="K407" s="156">
        <f t="shared" si="24"/>
        <v>19</v>
      </c>
    </row>
    <row r="408" spans="2:11" x14ac:dyDescent="0.25">
      <c r="B408" s="277"/>
      <c r="C408" s="151" t="s">
        <v>151</v>
      </c>
      <c r="D408" s="326"/>
      <c r="E408" s="326"/>
      <c r="F408" s="286"/>
      <c r="G408" s="159" t="s">
        <v>45</v>
      </c>
      <c r="H408" s="131">
        <v>20</v>
      </c>
      <c r="I408" s="131"/>
      <c r="J408" s="155">
        <v>1</v>
      </c>
      <c r="K408" s="156">
        <f t="shared" si="24"/>
        <v>19</v>
      </c>
    </row>
    <row r="409" spans="2:11" x14ac:dyDescent="0.25">
      <c r="B409" s="275">
        <v>2</v>
      </c>
      <c r="C409" s="152" t="s">
        <v>75</v>
      </c>
      <c r="D409" s="324" t="s">
        <v>14</v>
      </c>
      <c r="E409" s="324" t="s">
        <v>1</v>
      </c>
      <c r="F409" s="284" t="s">
        <v>16</v>
      </c>
      <c r="G409" s="153" t="s">
        <v>48</v>
      </c>
      <c r="H409" s="154">
        <v>27</v>
      </c>
      <c r="I409" s="154"/>
      <c r="J409" s="155">
        <v>2</v>
      </c>
      <c r="K409" s="156">
        <f t="shared" si="24"/>
        <v>25</v>
      </c>
    </row>
    <row r="410" spans="2:11" x14ac:dyDescent="0.25">
      <c r="B410" s="276"/>
      <c r="C410" s="151" t="s">
        <v>107</v>
      </c>
      <c r="D410" s="325"/>
      <c r="E410" s="325"/>
      <c r="F410" s="285"/>
      <c r="G410" s="159" t="s">
        <v>57</v>
      </c>
      <c r="H410" s="131">
        <v>29</v>
      </c>
      <c r="I410" s="131"/>
      <c r="J410" s="155">
        <v>2</v>
      </c>
      <c r="K410" s="156">
        <f t="shared" si="24"/>
        <v>27</v>
      </c>
    </row>
    <row r="411" spans="2:11" x14ac:dyDescent="0.25">
      <c r="B411" s="276"/>
      <c r="C411" s="151" t="s">
        <v>126</v>
      </c>
      <c r="D411" s="325"/>
      <c r="E411" s="325"/>
      <c r="F411" s="285"/>
      <c r="G411" s="159" t="s">
        <v>57</v>
      </c>
      <c r="H411" s="131">
        <v>30</v>
      </c>
      <c r="I411" s="131"/>
      <c r="J411" s="155">
        <v>2</v>
      </c>
      <c r="K411" s="156">
        <f t="shared" si="24"/>
        <v>28</v>
      </c>
    </row>
    <row r="412" spans="2:11" x14ac:dyDescent="0.25">
      <c r="B412" s="276"/>
      <c r="C412" s="151" t="s">
        <v>153</v>
      </c>
      <c r="D412" s="325"/>
      <c r="E412" s="325"/>
      <c r="F412" s="285"/>
      <c r="G412" s="159" t="s">
        <v>57</v>
      </c>
      <c r="H412" s="131">
        <v>27</v>
      </c>
      <c r="I412" s="131"/>
      <c r="J412" s="155">
        <v>2</v>
      </c>
      <c r="K412" s="156">
        <f t="shared" si="24"/>
        <v>25</v>
      </c>
    </row>
    <row r="413" spans="2:11" x14ac:dyDescent="0.25">
      <c r="B413" s="276"/>
      <c r="C413" s="151" t="s">
        <v>128</v>
      </c>
      <c r="D413" s="325"/>
      <c r="E413" s="325"/>
      <c r="F413" s="285"/>
      <c r="G413" s="159" t="s">
        <v>57</v>
      </c>
      <c r="H413" s="131">
        <v>27</v>
      </c>
      <c r="I413" s="131"/>
      <c r="J413" s="155">
        <v>2</v>
      </c>
      <c r="K413" s="156">
        <f t="shared" si="24"/>
        <v>25</v>
      </c>
    </row>
    <row r="414" spans="2:11" x14ac:dyDescent="0.25">
      <c r="B414" s="276"/>
      <c r="C414" s="151" t="s">
        <v>115</v>
      </c>
      <c r="D414" s="325"/>
      <c r="E414" s="325"/>
      <c r="F414" s="285"/>
      <c r="G414" s="159" t="s">
        <v>57</v>
      </c>
      <c r="H414" s="131">
        <v>29</v>
      </c>
      <c r="I414" s="131"/>
      <c r="J414" s="155">
        <v>2</v>
      </c>
      <c r="K414" s="156">
        <f t="shared" si="24"/>
        <v>27</v>
      </c>
    </row>
    <row r="415" spans="2:11" x14ac:dyDescent="0.25">
      <c r="B415" s="277"/>
      <c r="C415" s="151" t="s">
        <v>151</v>
      </c>
      <c r="D415" s="326"/>
      <c r="E415" s="326"/>
      <c r="F415" s="286"/>
      <c r="G415" s="159" t="s">
        <v>57</v>
      </c>
      <c r="H415" s="131">
        <v>27</v>
      </c>
      <c r="I415" s="131"/>
      <c r="J415" s="155">
        <v>2</v>
      </c>
      <c r="K415" s="156">
        <f t="shared" si="24"/>
        <v>25</v>
      </c>
    </row>
    <row r="416" spans="2:11" x14ac:dyDescent="0.25">
      <c r="B416" s="275">
        <v>2</v>
      </c>
      <c r="C416" s="152" t="s">
        <v>75</v>
      </c>
      <c r="D416" s="324" t="s">
        <v>14</v>
      </c>
      <c r="E416" s="324" t="s">
        <v>1</v>
      </c>
      <c r="F416" s="284" t="s">
        <v>25</v>
      </c>
      <c r="G416" s="153" t="s">
        <v>50</v>
      </c>
      <c r="H416" s="154">
        <v>22</v>
      </c>
      <c r="I416" s="154"/>
      <c r="J416" s="155">
        <v>0</v>
      </c>
      <c r="K416" s="156">
        <f t="shared" si="24"/>
        <v>22</v>
      </c>
    </row>
    <row r="417" spans="2:12" x14ac:dyDescent="0.25">
      <c r="B417" s="276"/>
      <c r="C417" s="151" t="s">
        <v>107</v>
      </c>
      <c r="D417" s="325"/>
      <c r="E417" s="325"/>
      <c r="F417" s="285"/>
      <c r="G417" s="159" t="s">
        <v>154</v>
      </c>
      <c r="H417" s="131">
        <v>22</v>
      </c>
      <c r="I417" s="131"/>
      <c r="J417" s="155">
        <v>0</v>
      </c>
      <c r="K417" s="156">
        <f t="shared" si="24"/>
        <v>22</v>
      </c>
    </row>
    <row r="418" spans="2:12" x14ac:dyDescent="0.25">
      <c r="B418" s="276"/>
      <c r="C418" s="151" t="s">
        <v>126</v>
      </c>
      <c r="D418" s="325"/>
      <c r="E418" s="325"/>
      <c r="F418" s="285"/>
      <c r="G418" s="159" t="s">
        <v>154</v>
      </c>
      <c r="H418" s="131">
        <v>22</v>
      </c>
      <c r="I418" s="131"/>
      <c r="J418" s="155">
        <v>0</v>
      </c>
      <c r="K418" s="156">
        <f t="shared" si="24"/>
        <v>22</v>
      </c>
    </row>
    <row r="419" spans="2:12" x14ac:dyDescent="0.25">
      <c r="B419" s="276"/>
      <c r="C419" s="151" t="s">
        <v>153</v>
      </c>
      <c r="D419" s="325"/>
      <c r="E419" s="325"/>
      <c r="F419" s="285"/>
      <c r="G419" s="159" t="s">
        <v>154</v>
      </c>
      <c r="H419" s="131">
        <v>21</v>
      </c>
      <c r="I419" s="131"/>
      <c r="J419" s="155">
        <v>0</v>
      </c>
      <c r="K419" s="156">
        <f t="shared" si="24"/>
        <v>21</v>
      </c>
    </row>
    <row r="420" spans="2:12" x14ac:dyDescent="0.25">
      <c r="B420" s="276"/>
      <c r="C420" s="151" t="s">
        <v>128</v>
      </c>
      <c r="D420" s="325"/>
      <c r="E420" s="325"/>
      <c r="F420" s="285"/>
      <c r="G420" s="159" t="s">
        <v>154</v>
      </c>
      <c r="H420" s="131">
        <v>22</v>
      </c>
      <c r="I420" s="131"/>
      <c r="J420" s="155">
        <v>0</v>
      </c>
      <c r="K420" s="156">
        <f t="shared" si="24"/>
        <v>22</v>
      </c>
    </row>
    <row r="421" spans="2:12" x14ac:dyDescent="0.25">
      <c r="B421" s="276"/>
      <c r="C421" s="151" t="s">
        <v>115</v>
      </c>
      <c r="D421" s="325"/>
      <c r="E421" s="325"/>
      <c r="F421" s="285"/>
      <c r="G421" s="159" t="s">
        <v>154</v>
      </c>
      <c r="H421" s="131">
        <v>21</v>
      </c>
      <c r="I421" s="131"/>
      <c r="J421" s="155">
        <v>0</v>
      </c>
      <c r="K421" s="156">
        <f t="shared" si="24"/>
        <v>21</v>
      </c>
    </row>
    <row r="422" spans="2:12" x14ac:dyDescent="0.25">
      <c r="B422" s="277"/>
      <c r="C422" s="151" t="s">
        <v>151</v>
      </c>
      <c r="D422" s="326"/>
      <c r="E422" s="326"/>
      <c r="F422" s="286"/>
      <c r="G422" s="159" t="s">
        <v>154</v>
      </c>
      <c r="H422" s="131">
        <v>22</v>
      </c>
      <c r="I422" s="131"/>
      <c r="J422" s="155">
        <v>0</v>
      </c>
      <c r="K422" s="156">
        <f t="shared" si="24"/>
        <v>22</v>
      </c>
    </row>
    <row r="423" spans="2:12" x14ac:dyDescent="0.25">
      <c r="B423" s="275">
        <v>2</v>
      </c>
      <c r="C423" s="160" t="s">
        <v>75</v>
      </c>
      <c r="D423" s="333" t="s">
        <v>14</v>
      </c>
      <c r="E423" s="333" t="s">
        <v>17</v>
      </c>
      <c r="F423" s="272" t="s">
        <v>16</v>
      </c>
      <c r="G423" s="161" t="s">
        <v>15</v>
      </c>
      <c r="H423" s="162">
        <v>36</v>
      </c>
      <c r="I423" s="162"/>
      <c r="J423" s="163">
        <v>1</v>
      </c>
      <c r="K423" s="156">
        <f t="shared" si="24"/>
        <v>35</v>
      </c>
      <c r="L423" s="229">
        <f>SUM(K423,K430,K437)</f>
        <v>63</v>
      </c>
    </row>
    <row r="424" spans="2:12" x14ac:dyDescent="0.25">
      <c r="B424" s="276"/>
      <c r="C424" s="151" t="s">
        <v>107</v>
      </c>
      <c r="D424" s="334"/>
      <c r="E424" s="334"/>
      <c r="F424" s="273"/>
      <c r="G424" s="159" t="s">
        <v>27</v>
      </c>
      <c r="H424" s="131">
        <v>28</v>
      </c>
      <c r="I424" s="131"/>
      <c r="J424" s="163">
        <v>0</v>
      </c>
      <c r="K424" s="156">
        <f t="shared" si="24"/>
        <v>28</v>
      </c>
      <c r="L424" s="229"/>
    </row>
    <row r="425" spans="2:12" x14ac:dyDescent="0.25">
      <c r="B425" s="276"/>
      <c r="C425" s="151" t="s">
        <v>126</v>
      </c>
      <c r="D425" s="334"/>
      <c r="E425" s="334"/>
      <c r="F425" s="273"/>
      <c r="G425" s="159" t="s">
        <v>27</v>
      </c>
      <c r="H425" s="131">
        <v>37</v>
      </c>
      <c r="I425" s="131"/>
      <c r="J425" s="163"/>
      <c r="K425" s="156">
        <f t="shared" si="24"/>
        <v>37</v>
      </c>
      <c r="L425" s="229"/>
    </row>
    <row r="426" spans="2:12" x14ac:dyDescent="0.25">
      <c r="B426" s="276"/>
      <c r="C426" s="151" t="s">
        <v>153</v>
      </c>
      <c r="D426" s="334"/>
      <c r="E426" s="334"/>
      <c r="F426" s="273"/>
      <c r="G426" s="159" t="s">
        <v>27</v>
      </c>
      <c r="H426" s="131">
        <v>36</v>
      </c>
      <c r="I426" s="131"/>
      <c r="J426" s="163">
        <v>0</v>
      </c>
      <c r="K426" s="156">
        <f t="shared" si="24"/>
        <v>36</v>
      </c>
      <c r="L426" s="229"/>
    </row>
    <row r="427" spans="2:12" x14ac:dyDescent="0.25">
      <c r="B427" s="276"/>
      <c r="C427" s="151" t="s">
        <v>128</v>
      </c>
      <c r="D427" s="334"/>
      <c r="E427" s="334"/>
      <c r="F427" s="273"/>
      <c r="G427" s="159" t="s">
        <v>27</v>
      </c>
      <c r="H427" s="131">
        <v>34</v>
      </c>
      <c r="I427" s="131"/>
      <c r="J427" s="163">
        <v>0</v>
      </c>
      <c r="K427" s="156">
        <f t="shared" si="24"/>
        <v>34</v>
      </c>
      <c r="L427" s="229"/>
    </row>
    <row r="428" spans="2:12" x14ac:dyDescent="0.25">
      <c r="B428" s="276"/>
      <c r="C428" s="151" t="s">
        <v>115</v>
      </c>
      <c r="D428" s="334"/>
      <c r="E428" s="334"/>
      <c r="F428" s="273"/>
      <c r="G428" s="159" t="s">
        <v>27</v>
      </c>
      <c r="H428" s="131">
        <v>35</v>
      </c>
      <c r="I428" s="131"/>
      <c r="J428" s="163">
        <v>1</v>
      </c>
      <c r="K428" s="156">
        <f t="shared" si="24"/>
        <v>34</v>
      </c>
      <c r="L428" s="229"/>
    </row>
    <row r="429" spans="2:12" x14ac:dyDescent="0.25">
      <c r="B429" s="277"/>
      <c r="C429" s="151" t="s">
        <v>151</v>
      </c>
      <c r="D429" s="335"/>
      <c r="E429" s="335"/>
      <c r="F429" s="274"/>
      <c r="G429" s="159" t="s">
        <v>27</v>
      </c>
      <c r="H429" s="131">
        <v>40</v>
      </c>
      <c r="I429" s="131"/>
      <c r="J429" s="163">
        <v>0</v>
      </c>
      <c r="K429" s="156">
        <f t="shared" si="24"/>
        <v>40</v>
      </c>
      <c r="L429" s="229"/>
    </row>
    <row r="430" spans="2:12" x14ac:dyDescent="0.25">
      <c r="B430" s="275">
        <v>2</v>
      </c>
      <c r="C430" s="160" t="s">
        <v>75</v>
      </c>
      <c r="D430" s="333" t="s">
        <v>14</v>
      </c>
      <c r="E430" s="333" t="s">
        <v>17</v>
      </c>
      <c r="F430" s="272" t="s">
        <v>16</v>
      </c>
      <c r="G430" s="161" t="s">
        <v>43</v>
      </c>
      <c r="H430" s="162">
        <v>20</v>
      </c>
      <c r="I430" s="162"/>
      <c r="J430" s="163">
        <v>1</v>
      </c>
      <c r="K430" s="156">
        <f t="shared" si="24"/>
        <v>19</v>
      </c>
      <c r="L430" s="229"/>
    </row>
    <row r="431" spans="2:12" x14ac:dyDescent="0.25">
      <c r="B431" s="276"/>
      <c r="C431" s="151" t="s">
        <v>107</v>
      </c>
      <c r="D431" s="334"/>
      <c r="E431" s="334"/>
      <c r="F431" s="273"/>
      <c r="G431" s="159" t="s">
        <v>46</v>
      </c>
      <c r="H431" s="131">
        <v>16</v>
      </c>
      <c r="I431" s="131"/>
      <c r="J431" s="163">
        <v>1</v>
      </c>
      <c r="K431" s="156">
        <f t="shared" si="24"/>
        <v>15</v>
      </c>
      <c r="L431" s="229"/>
    </row>
    <row r="432" spans="2:12" x14ac:dyDescent="0.25">
      <c r="B432" s="276"/>
      <c r="C432" s="151" t="s">
        <v>126</v>
      </c>
      <c r="D432" s="334"/>
      <c r="E432" s="334"/>
      <c r="F432" s="273"/>
      <c r="G432" s="159" t="s">
        <v>46</v>
      </c>
      <c r="H432" s="131">
        <v>17</v>
      </c>
      <c r="I432" s="131"/>
      <c r="J432" s="163">
        <v>0</v>
      </c>
      <c r="K432" s="156">
        <f t="shared" si="24"/>
        <v>17</v>
      </c>
      <c r="L432" s="229"/>
    </row>
    <row r="433" spans="1:12" x14ac:dyDescent="0.25">
      <c r="B433" s="276"/>
      <c r="C433" s="151" t="s">
        <v>153</v>
      </c>
      <c r="D433" s="334"/>
      <c r="E433" s="334"/>
      <c r="F433" s="273"/>
      <c r="G433" s="159" t="s">
        <v>46</v>
      </c>
      <c r="H433" s="131">
        <v>18</v>
      </c>
      <c r="I433" s="131"/>
      <c r="J433" s="163">
        <v>0</v>
      </c>
      <c r="K433" s="156">
        <f t="shared" si="24"/>
        <v>18</v>
      </c>
      <c r="L433" s="229"/>
    </row>
    <row r="434" spans="1:12" x14ac:dyDescent="0.25">
      <c r="B434" s="276"/>
      <c r="C434" s="151" t="s">
        <v>128</v>
      </c>
      <c r="D434" s="334"/>
      <c r="E434" s="334"/>
      <c r="F434" s="273"/>
      <c r="G434" s="159" t="s">
        <v>46</v>
      </c>
      <c r="H434" s="131">
        <v>20</v>
      </c>
      <c r="I434" s="131"/>
      <c r="J434" s="163">
        <v>0</v>
      </c>
      <c r="K434" s="156">
        <f t="shared" si="24"/>
        <v>20</v>
      </c>
      <c r="L434" s="229"/>
    </row>
    <row r="435" spans="1:12" x14ac:dyDescent="0.25">
      <c r="B435" s="276"/>
      <c r="C435" s="151" t="s">
        <v>115</v>
      </c>
      <c r="D435" s="334"/>
      <c r="E435" s="334"/>
      <c r="F435" s="273"/>
      <c r="G435" s="159" t="s">
        <v>46</v>
      </c>
      <c r="H435" s="131">
        <v>21</v>
      </c>
      <c r="I435" s="131"/>
      <c r="J435" s="163">
        <v>0</v>
      </c>
      <c r="K435" s="156">
        <f t="shared" si="24"/>
        <v>21</v>
      </c>
      <c r="L435" s="229"/>
    </row>
    <row r="436" spans="1:12" x14ac:dyDescent="0.25">
      <c r="B436" s="277"/>
      <c r="C436" s="151" t="s">
        <v>151</v>
      </c>
      <c r="D436" s="335"/>
      <c r="E436" s="335"/>
      <c r="F436" s="274"/>
      <c r="G436" s="159" t="s">
        <v>46</v>
      </c>
      <c r="H436" s="131">
        <v>14</v>
      </c>
      <c r="I436" s="131"/>
      <c r="J436" s="163">
        <v>1</v>
      </c>
      <c r="K436" s="156">
        <f>H436-J436</f>
        <v>13</v>
      </c>
      <c r="L436" s="229"/>
    </row>
    <row r="437" spans="1:12" x14ac:dyDescent="0.25">
      <c r="B437" s="275">
        <v>2</v>
      </c>
      <c r="C437" s="160" t="s">
        <v>75</v>
      </c>
      <c r="D437" s="333" t="s">
        <v>14</v>
      </c>
      <c r="E437" s="333" t="s">
        <v>17</v>
      </c>
      <c r="F437" s="272" t="s">
        <v>16</v>
      </c>
      <c r="G437" s="161" t="s">
        <v>48</v>
      </c>
      <c r="H437" s="131">
        <v>10</v>
      </c>
      <c r="I437" s="162"/>
      <c r="J437" s="163">
        <v>1</v>
      </c>
      <c r="K437" s="156">
        <v>9</v>
      </c>
      <c r="L437" s="229"/>
    </row>
    <row r="438" spans="1:12" x14ac:dyDescent="0.25">
      <c r="B438" s="276"/>
      <c r="C438" s="151" t="s">
        <v>107</v>
      </c>
      <c r="D438" s="334"/>
      <c r="E438" s="334"/>
      <c r="F438" s="273"/>
      <c r="G438" s="159" t="s">
        <v>141</v>
      </c>
      <c r="H438" s="131">
        <v>7</v>
      </c>
      <c r="I438" s="131"/>
      <c r="J438" s="163">
        <v>1</v>
      </c>
      <c r="K438" s="156"/>
      <c r="L438" s="229"/>
    </row>
    <row r="439" spans="1:12" x14ac:dyDescent="0.25">
      <c r="B439" s="276"/>
      <c r="C439" s="151" t="s">
        <v>126</v>
      </c>
      <c r="D439" s="334"/>
      <c r="E439" s="334"/>
      <c r="F439" s="273"/>
      <c r="G439" s="159" t="s">
        <v>141</v>
      </c>
      <c r="H439" s="131">
        <v>9</v>
      </c>
      <c r="I439" s="131"/>
      <c r="J439" s="163">
        <v>0</v>
      </c>
      <c r="K439" s="156">
        <f t="shared" si="24"/>
        <v>9</v>
      </c>
      <c r="L439" s="229"/>
    </row>
    <row r="440" spans="1:12" x14ac:dyDescent="0.25">
      <c r="B440" s="276"/>
      <c r="C440" s="151" t="s">
        <v>153</v>
      </c>
      <c r="D440" s="334"/>
      <c r="E440" s="334"/>
      <c r="F440" s="273"/>
      <c r="G440" s="159" t="s">
        <v>141</v>
      </c>
      <c r="H440" s="131">
        <v>10</v>
      </c>
      <c r="I440" s="131"/>
      <c r="J440" s="163">
        <v>0</v>
      </c>
      <c r="K440" s="156">
        <f t="shared" si="24"/>
        <v>10</v>
      </c>
      <c r="L440" s="229"/>
    </row>
    <row r="441" spans="1:12" x14ac:dyDescent="0.25">
      <c r="B441" s="276"/>
      <c r="C441" s="151" t="s">
        <v>128</v>
      </c>
      <c r="D441" s="334"/>
      <c r="E441" s="334"/>
      <c r="F441" s="273"/>
      <c r="G441" s="159" t="s">
        <v>141</v>
      </c>
      <c r="H441" s="131">
        <v>10</v>
      </c>
      <c r="I441" s="131"/>
      <c r="J441" s="163">
        <v>0</v>
      </c>
      <c r="K441" s="156">
        <f t="shared" si="24"/>
        <v>10</v>
      </c>
      <c r="L441" s="229"/>
    </row>
    <row r="442" spans="1:12" x14ac:dyDescent="0.25">
      <c r="B442" s="276"/>
      <c r="C442" s="151" t="s">
        <v>115</v>
      </c>
      <c r="D442" s="334"/>
      <c r="E442" s="334"/>
      <c r="F442" s="273"/>
      <c r="G442" s="159" t="s">
        <v>141</v>
      </c>
      <c r="H442" s="131">
        <v>10</v>
      </c>
      <c r="I442" s="131"/>
      <c r="J442" s="163">
        <v>0</v>
      </c>
      <c r="K442" s="156">
        <f t="shared" si="24"/>
        <v>10</v>
      </c>
      <c r="L442" s="229"/>
    </row>
    <row r="443" spans="1:12" x14ac:dyDescent="0.25">
      <c r="B443" s="277"/>
      <c r="C443" s="151" t="s">
        <v>151</v>
      </c>
      <c r="D443" s="335"/>
      <c r="E443" s="335"/>
      <c r="F443" s="274"/>
      <c r="G443" s="159" t="s">
        <v>141</v>
      </c>
      <c r="H443" s="131">
        <v>11</v>
      </c>
      <c r="I443" s="131"/>
      <c r="J443" s="163">
        <v>0</v>
      </c>
      <c r="K443" s="156">
        <f t="shared" si="24"/>
        <v>11</v>
      </c>
      <c r="L443" s="229"/>
    </row>
    <row r="444" spans="1:12" ht="28.5" customHeight="1" x14ac:dyDescent="0.25">
      <c r="A444" s="36"/>
      <c r="B444" s="275">
        <v>2</v>
      </c>
      <c r="C444" s="177" t="s">
        <v>155</v>
      </c>
      <c r="D444" s="330" t="s">
        <v>14</v>
      </c>
      <c r="E444" s="330" t="s">
        <v>12</v>
      </c>
      <c r="F444" s="312" t="s">
        <v>16</v>
      </c>
      <c r="G444" s="178" t="s">
        <v>15</v>
      </c>
      <c r="H444" s="179">
        <v>6</v>
      </c>
      <c r="I444" s="179"/>
      <c r="J444" s="180"/>
      <c r="K444" s="156">
        <f t="shared" si="24"/>
        <v>6</v>
      </c>
    </row>
    <row r="445" spans="1:12" x14ac:dyDescent="0.25">
      <c r="B445" s="276"/>
      <c r="C445" s="151" t="s">
        <v>23</v>
      </c>
      <c r="D445" s="331"/>
      <c r="E445" s="331"/>
      <c r="F445" s="313"/>
      <c r="G445" s="159" t="s">
        <v>41</v>
      </c>
      <c r="H445" s="131">
        <v>6</v>
      </c>
      <c r="I445" s="131"/>
      <c r="J445" s="180">
        <v>0</v>
      </c>
      <c r="K445" s="156">
        <f t="shared" si="24"/>
        <v>6</v>
      </c>
    </row>
    <row r="446" spans="1:12" x14ac:dyDescent="0.25">
      <c r="B446" s="276"/>
      <c r="C446" s="151" t="s">
        <v>95</v>
      </c>
      <c r="D446" s="331"/>
      <c r="E446" s="331"/>
      <c r="F446" s="313"/>
      <c r="G446" s="159" t="s">
        <v>41</v>
      </c>
      <c r="H446" s="131">
        <v>6</v>
      </c>
      <c r="I446" s="131"/>
      <c r="J446" s="180">
        <v>0</v>
      </c>
      <c r="K446" s="156">
        <f t="shared" si="24"/>
        <v>6</v>
      </c>
    </row>
    <row r="447" spans="1:12" x14ac:dyDescent="0.25">
      <c r="B447" s="276"/>
      <c r="C447" s="151" t="s">
        <v>96</v>
      </c>
      <c r="D447" s="331"/>
      <c r="E447" s="331"/>
      <c r="F447" s="313"/>
      <c r="G447" s="159" t="s">
        <v>41</v>
      </c>
      <c r="H447" s="131">
        <v>6</v>
      </c>
      <c r="I447" s="131"/>
      <c r="J447" s="180">
        <v>0</v>
      </c>
      <c r="K447" s="156">
        <f t="shared" si="24"/>
        <v>6</v>
      </c>
    </row>
    <row r="448" spans="1:12" x14ac:dyDescent="0.25">
      <c r="B448" s="276"/>
      <c r="C448" s="151" t="s">
        <v>102</v>
      </c>
      <c r="D448" s="331"/>
      <c r="E448" s="331"/>
      <c r="F448" s="313"/>
      <c r="G448" s="159" t="s">
        <v>41</v>
      </c>
      <c r="H448" s="131">
        <v>6</v>
      </c>
      <c r="I448" s="131"/>
      <c r="J448" s="180">
        <v>0</v>
      </c>
      <c r="K448" s="156">
        <f t="shared" si="24"/>
        <v>6</v>
      </c>
    </row>
    <row r="449" spans="1:11" x14ac:dyDescent="0.25">
      <c r="B449" s="276"/>
      <c r="C449" s="151" t="s">
        <v>97</v>
      </c>
      <c r="D449" s="331"/>
      <c r="E449" s="331"/>
      <c r="F449" s="313"/>
      <c r="G449" s="159" t="s">
        <v>41</v>
      </c>
      <c r="H449" s="131">
        <v>6</v>
      </c>
      <c r="I449" s="131"/>
      <c r="J449" s="180">
        <v>0</v>
      </c>
      <c r="K449" s="156">
        <f t="shared" si="24"/>
        <v>6</v>
      </c>
    </row>
    <row r="450" spans="1:11" x14ac:dyDescent="0.25">
      <c r="B450" s="277"/>
      <c r="C450" s="151" t="s">
        <v>156</v>
      </c>
      <c r="D450" s="332"/>
      <c r="E450" s="332"/>
      <c r="F450" s="314"/>
      <c r="G450" s="159" t="s">
        <v>41</v>
      </c>
      <c r="H450" s="131">
        <v>6</v>
      </c>
      <c r="I450" s="131"/>
      <c r="J450" s="180">
        <v>0</v>
      </c>
      <c r="K450" s="156">
        <f t="shared" si="24"/>
        <v>6</v>
      </c>
    </row>
    <row r="451" spans="1:11" ht="33.75" customHeight="1" x14ac:dyDescent="0.25">
      <c r="B451" s="275">
        <v>2</v>
      </c>
      <c r="C451" s="177" t="s">
        <v>157</v>
      </c>
      <c r="D451" s="330" t="s">
        <v>14</v>
      </c>
      <c r="E451" s="330" t="s">
        <v>17</v>
      </c>
      <c r="F451" s="312" t="s">
        <v>16</v>
      </c>
      <c r="G451" s="178" t="s">
        <v>15</v>
      </c>
      <c r="H451" s="179">
        <v>14</v>
      </c>
      <c r="I451" s="179"/>
      <c r="J451" s="180">
        <v>0</v>
      </c>
      <c r="K451" s="156">
        <f t="shared" si="24"/>
        <v>14</v>
      </c>
    </row>
    <row r="452" spans="1:11" x14ac:dyDescent="0.25">
      <c r="B452" s="276"/>
      <c r="C452" s="151" t="s">
        <v>23</v>
      </c>
      <c r="D452" s="331"/>
      <c r="E452" s="331"/>
      <c r="F452" s="313"/>
      <c r="G452" s="159" t="s">
        <v>27</v>
      </c>
      <c r="H452" s="131">
        <v>13</v>
      </c>
      <c r="I452" s="131"/>
      <c r="J452" s="180">
        <v>1</v>
      </c>
      <c r="K452" s="156">
        <f t="shared" si="24"/>
        <v>12</v>
      </c>
    </row>
    <row r="453" spans="1:11" x14ac:dyDescent="0.25">
      <c r="B453" s="276"/>
      <c r="C453" s="151" t="s">
        <v>95</v>
      </c>
      <c r="D453" s="331"/>
      <c r="E453" s="331"/>
      <c r="F453" s="313"/>
      <c r="G453" s="159" t="s">
        <v>27</v>
      </c>
      <c r="H453" s="131">
        <v>14</v>
      </c>
      <c r="I453" s="131"/>
      <c r="J453" s="180">
        <v>1</v>
      </c>
      <c r="K453" s="156">
        <f t="shared" ref="K453:K506" si="25">H453-J453</f>
        <v>13</v>
      </c>
    </row>
    <row r="454" spans="1:11" x14ac:dyDescent="0.25">
      <c r="B454" s="276"/>
      <c r="C454" s="151" t="s">
        <v>96</v>
      </c>
      <c r="D454" s="331"/>
      <c r="E454" s="331"/>
      <c r="F454" s="313"/>
      <c r="G454" s="159" t="s">
        <v>27</v>
      </c>
      <c r="H454" s="131">
        <v>14</v>
      </c>
      <c r="I454" s="131"/>
      <c r="J454" s="180">
        <v>1</v>
      </c>
      <c r="K454" s="156">
        <f t="shared" si="25"/>
        <v>13</v>
      </c>
    </row>
    <row r="455" spans="1:11" x14ac:dyDescent="0.25">
      <c r="B455" s="276"/>
      <c r="C455" s="151" t="s">
        <v>102</v>
      </c>
      <c r="D455" s="331"/>
      <c r="E455" s="331"/>
      <c r="F455" s="313"/>
      <c r="G455" s="159" t="s">
        <v>27</v>
      </c>
      <c r="H455" s="131">
        <v>14</v>
      </c>
      <c r="I455" s="131"/>
      <c r="J455" s="180">
        <v>1</v>
      </c>
      <c r="K455" s="156">
        <f t="shared" si="25"/>
        <v>13</v>
      </c>
    </row>
    <row r="456" spans="1:11" x14ac:dyDescent="0.25">
      <c r="B456" s="276"/>
      <c r="C456" s="151" t="s">
        <v>97</v>
      </c>
      <c r="D456" s="331"/>
      <c r="E456" s="331"/>
      <c r="F456" s="313"/>
      <c r="G456" s="159" t="s">
        <v>27</v>
      </c>
      <c r="H456" s="131">
        <v>14</v>
      </c>
      <c r="I456" s="131"/>
      <c r="J456" s="180">
        <v>1</v>
      </c>
      <c r="K456" s="156">
        <f t="shared" si="25"/>
        <v>13</v>
      </c>
    </row>
    <row r="457" spans="1:11" x14ac:dyDescent="0.25">
      <c r="B457" s="277"/>
      <c r="C457" s="151" t="s">
        <v>156</v>
      </c>
      <c r="D457" s="332"/>
      <c r="E457" s="332"/>
      <c r="F457" s="314"/>
      <c r="G457" s="159" t="s">
        <v>27</v>
      </c>
      <c r="H457" s="131">
        <v>14</v>
      </c>
      <c r="I457" s="131"/>
      <c r="J457" s="180">
        <v>1</v>
      </c>
      <c r="K457" s="156">
        <f t="shared" si="25"/>
        <v>13</v>
      </c>
    </row>
    <row r="458" spans="1:11" ht="33.75" x14ac:dyDescent="0.25">
      <c r="A458" s="36"/>
      <c r="B458" s="275">
        <v>2</v>
      </c>
      <c r="C458" s="177" t="s">
        <v>158</v>
      </c>
      <c r="D458" s="330" t="s">
        <v>14</v>
      </c>
      <c r="E458" s="330" t="s">
        <v>12</v>
      </c>
      <c r="F458" s="312" t="s">
        <v>16</v>
      </c>
      <c r="G458" s="178" t="s">
        <v>15</v>
      </c>
      <c r="H458" s="179"/>
      <c r="I458" s="179"/>
      <c r="J458" s="180"/>
      <c r="K458" s="156">
        <f t="shared" si="25"/>
        <v>0</v>
      </c>
    </row>
    <row r="459" spans="1:11" x14ac:dyDescent="0.25">
      <c r="B459" s="276"/>
      <c r="C459" s="151" t="s">
        <v>23</v>
      </c>
      <c r="D459" s="331"/>
      <c r="E459" s="331"/>
      <c r="F459" s="313"/>
      <c r="G459" s="159" t="s">
        <v>41</v>
      </c>
      <c r="H459" s="131">
        <v>8</v>
      </c>
      <c r="I459" s="131"/>
      <c r="J459" s="180">
        <v>1</v>
      </c>
      <c r="K459" s="156">
        <f t="shared" si="25"/>
        <v>7</v>
      </c>
    </row>
    <row r="460" spans="1:11" x14ac:dyDescent="0.25">
      <c r="B460" s="276"/>
      <c r="C460" s="151" t="s">
        <v>95</v>
      </c>
      <c r="D460" s="331"/>
      <c r="E460" s="331"/>
      <c r="F460" s="313"/>
      <c r="G460" s="159" t="s">
        <v>41</v>
      </c>
      <c r="H460" s="131">
        <v>8</v>
      </c>
      <c r="I460" s="131"/>
      <c r="J460" s="180">
        <v>1</v>
      </c>
      <c r="K460" s="156">
        <f t="shared" si="25"/>
        <v>7</v>
      </c>
    </row>
    <row r="461" spans="1:11" x14ac:dyDescent="0.25">
      <c r="B461" s="276"/>
      <c r="C461" s="151" t="s">
        <v>101</v>
      </c>
      <c r="D461" s="331"/>
      <c r="E461" s="331"/>
      <c r="F461" s="313"/>
      <c r="G461" s="159" t="s">
        <v>41</v>
      </c>
      <c r="H461" s="131">
        <v>7</v>
      </c>
      <c r="I461" s="131"/>
      <c r="J461" s="180">
        <v>1</v>
      </c>
      <c r="K461" s="156">
        <f t="shared" si="25"/>
        <v>6</v>
      </c>
    </row>
    <row r="462" spans="1:11" x14ac:dyDescent="0.25">
      <c r="B462" s="276"/>
      <c r="C462" s="151" t="s">
        <v>102</v>
      </c>
      <c r="D462" s="331"/>
      <c r="E462" s="331"/>
      <c r="F462" s="313"/>
      <c r="G462" s="159" t="s">
        <v>41</v>
      </c>
      <c r="H462" s="131">
        <v>7</v>
      </c>
      <c r="I462" s="131"/>
      <c r="J462" s="180">
        <v>1</v>
      </c>
      <c r="K462" s="156">
        <f t="shared" si="25"/>
        <v>6</v>
      </c>
    </row>
    <row r="463" spans="1:11" x14ac:dyDescent="0.25">
      <c r="B463" s="276"/>
      <c r="C463" s="151" t="s">
        <v>97</v>
      </c>
      <c r="D463" s="331"/>
      <c r="E463" s="331"/>
      <c r="F463" s="313"/>
      <c r="G463" s="159" t="s">
        <v>41</v>
      </c>
      <c r="H463" s="131">
        <v>8</v>
      </c>
      <c r="I463" s="131"/>
      <c r="J463" s="180">
        <v>1</v>
      </c>
      <c r="K463" s="156">
        <f t="shared" si="25"/>
        <v>7</v>
      </c>
    </row>
    <row r="464" spans="1:11" x14ac:dyDescent="0.25">
      <c r="B464" s="277"/>
      <c r="C464" s="151" t="s">
        <v>159</v>
      </c>
      <c r="D464" s="332"/>
      <c r="E464" s="332"/>
      <c r="F464" s="314"/>
      <c r="G464" s="159" t="s">
        <v>41</v>
      </c>
      <c r="H464" s="131">
        <v>8</v>
      </c>
      <c r="I464" s="131"/>
      <c r="J464" s="180">
        <v>1</v>
      </c>
      <c r="K464" s="156">
        <f t="shared" si="25"/>
        <v>7</v>
      </c>
    </row>
    <row r="465" spans="1:11" ht="33.75" x14ac:dyDescent="0.25">
      <c r="A465" s="36"/>
      <c r="B465" s="275">
        <v>2</v>
      </c>
      <c r="C465" s="177" t="s">
        <v>158</v>
      </c>
      <c r="D465" s="330" t="s">
        <v>14</v>
      </c>
      <c r="E465" s="330" t="s">
        <v>17</v>
      </c>
      <c r="F465" s="312" t="s">
        <v>16</v>
      </c>
      <c r="G465" s="178" t="s">
        <v>15</v>
      </c>
      <c r="H465" s="179"/>
      <c r="I465" s="179"/>
      <c r="J465" s="180"/>
      <c r="K465" s="156">
        <f t="shared" si="25"/>
        <v>0</v>
      </c>
    </row>
    <row r="466" spans="1:11" x14ac:dyDescent="0.25">
      <c r="B466" s="276"/>
      <c r="C466" s="151" t="s">
        <v>23</v>
      </c>
      <c r="D466" s="331"/>
      <c r="E466" s="331"/>
      <c r="F466" s="313"/>
      <c r="G466" s="159" t="s">
        <v>27</v>
      </c>
      <c r="H466" s="131">
        <v>16</v>
      </c>
      <c r="I466" s="131"/>
      <c r="J466" s="180">
        <v>0</v>
      </c>
      <c r="K466" s="156">
        <f t="shared" si="25"/>
        <v>16</v>
      </c>
    </row>
    <row r="467" spans="1:11" x14ac:dyDescent="0.25">
      <c r="B467" s="276"/>
      <c r="C467" s="151" t="s">
        <v>95</v>
      </c>
      <c r="D467" s="331"/>
      <c r="E467" s="331"/>
      <c r="F467" s="313"/>
      <c r="G467" s="159" t="s">
        <v>27</v>
      </c>
      <c r="H467" s="131">
        <v>17</v>
      </c>
      <c r="I467" s="131"/>
      <c r="J467" s="180">
        <v>0</v>
      </c>
      <c r="K467" s="156">
        <f t="shared" si="25"/>
        <v>17</v>
      </c>
    </row>
    <row r="468" spans="1:11" x14ac:dyDescent="0.25">
      <c r="B468" s="276"/>
      <c r="C468" s="151" t="s">
        <v>101</v>
      </c>
      <c r="D468" s="331"/>
      <c r="E468" s="331"/>
      <c r="F468" s="313"/>
      <c r="G468" s="159" t="s">
        <v>27</v>
      </c>
      <c r="H468" s="131">
        <v>17</v>
      </c>
      <c r="I468" s="131"/>
      <c r="J468" s="180">
        <v>0</v>
      </c>
      <c r="K468" s="156">
        <f t="shared" si="25"/>
        <v>17</v>
      </c>
    </row>
    <row r="469" spans="1:11" x14ac:dyDescent="0.25">
      <c r="B469" s="276"/>
      <c r="C469" s="151" t="s">
        <v>102</v>
      </c>
      <c r="D469" s="331"/>
      <c r="E469" s="331"/>
      <c r="F469" s="313"/>
      <c r="G469" s="159" t="s">
        <v>27</v>
      </c>
      <c r="H469" s="131">
        <v>17</v>
      </c>
      <c r="I469" s="131"/>
      <c r="J469" s="180">
        <v>0</v>
      </c>
      <c r="K469" s="156">
        <f t="shared" si="25"/>
        <v>17</v>
      </c>
    </row>
    <row r="470" spans="1:11" x14ac:dyDescent="0.25">
      <c r="B470" s="276"/>
      <c r="C470" s="151" t="s">
        <v>97</v>
      </c>
      <c r="D470" s="331"/>
      <c r="E470" s="331"/>
      <c r="F470" s="313"/>
      <c r="G470" s="159" t="s">
        <v>27</v>
      </c>
      <c r="H470" s="131">
        <v>17</v>
      </c>
      <c r="I470" s="131"/>
      <c r="J470" s="180">
        <v>0</v>
      </c>
      <c r="K470" s="156">
        <f t="shared" si="25"/>
        <v>17</v>
      </c>
    </row>
    <row r="471" spans="1:11" x14ac:dyDescent="0.25">
      <c r="B471" s="277"/>
      <c r="C471" s="151" t="s">
        <v>159</v>
      </c>
      <c r="D471" s="332"/>
      <c r="E471" s="332"/>
      <c r="F471" s="314"/>
      <c r="G471" s="159" t="s">
        <v>27</v>
      </c>
      <c r="H471" s="131">
        <v>17</v>
      </c>
      <c r="I471" s="131"/>
      <c r="J471" s="180">
        <v>0</v>
      </c>
      <c r="K471" s="156">
        <f t="shared" si="25"/>
        <v>17</v>
      </c>
    </row>
    <row r="472" spans="1:11" ht="22.5" x14ac:dyDescent="0.25">
      <c r="B472" s="275">
        <v>2</v>
      </c>
      <c r="C472" s="177" t="s">
        <v>160</v>
      </c>
      <c r="D472" s="330" t="s">
        <v>14</v>
      </c>
      <c r="E472" s="330" t="s">
        <v>12</v>
      </c>
      <c r="F472" s="312" t="s">
        <v>16</v>
      </c>
      <c r="G472" s="178" t="s">
        <v>15</v>
      </c>
      <c r="H472" s="179"/>
      <c r="I472" s="179"/>
      <c r="J472" s="180"/>
      <c r="K472" s="156">
        <f t="shared" si="25"/>
        <v>0</v>
      </c>
    </row>
    <row r="473" spans="1:11" x14ac:dyDescent="0.25">
      <c r="B473" s="276"/>
      <c r="C473" s="151" t="s">
        <v>23</v>
      </c>
      <c r="D473" s="331"/>
      <c r="E473" s="331"/>
      <c r="F473" s="313"/>
      <c r="G473" s="159" t="s">
        <v>41</v>
      </c>
      <c r="H473" s="131">
        <v>6</v>
      </c>
      <c r="I473" s="131"/>
      <c r="J473" s="180">
        <v>0</v>
      </c>
      <c r="K473" s="156">
        <f t="shared" si="25"/>
        <v>6</v>
      </c>
    </row>
    <row r="474" spans="1:11" x14ac:dyDescent="0.25">
      <c r="B474" s="276"/>
      <c r="C474" s="151" t="s">
        <v>95</v>
      </c>
      <c r="D474" s="331"/>
      <c r="E474" s="331"/>
      <c r="F474" s="313"/>
      <c r="G474" s="159" t="s">
        <v>41</v>
      </c>
      <c r="H474" s="131">
        <v>6</v>
      </c>
      <c r="I474" s="131"/>
      <c r="J474" s="180">
        <v>0</v>
      </c>
      <c r="K474" s="156">
        <f t="shared" si="25"/>
        <v>6</v>
      </c>
    </row>
    <row r="475" spans="1:11" x14ac:dyDescent="0.25">
      <c r="B475" s="276"/>
      <c r="C475" s="151" t="s">
        <v>96</v>
      </c>
      <c r="D475" s="331"/>
      <c r="E475" s="331"/>
      <c r="F475" s="313"/>
      <c r="G475" s="159" t="s">
        <v>41</v>
      </c>
      <c r="H475" s="131">
        <v>6</v>
      </c>
      <c r="I475" s="131"/>
      <c r="J475" s="180">
        <v>0</v>
      </c>
      <c r="K475" s="156">
        <f t="shared" si="25"/>
        <v>6</v>
      </c>
    </row>
    <row r="476" spans="1:11" x14ac:dyDescent="0.25">
      <c r="B476" s="276"/>
      <c r="C476" s="151" t="s">
        <v>102</v>
      </c>
      <c r="D476" s="331"/>
      <c r="E476" s="331"/>
      <c r="F476" s="313"/>
      <c r="G476" s="159" t="s">
        <v>41</v>
      </c>
      <c r="H476" s="131">
        <v>6</v>
      </c>
      <c r="I476" s="131"/>
      <c r="J476" s="180">
        <v>0</v>
      </c>
      <c r="K476" s="156">
        <f t="shared" si="25"/>
        <v>6</v>
      </c>
    </row>
    <row r="477" spans="1:11" x14ac:dyDescent="0.25">
      <c r="B477" s="276"/>
      <c r="C477" s="151" t="s">
        <v>97</v>
      </c>
      <c r="D477" s="331"/>
      <c r="E477" s="331"/>
      <c r="F477" s="313"/>
      <c r="G477" s="159" t="s">
        <v>41</v>
      </c>
      <c r="H477" s="131">
        <v>6</v>
      </c>
      <c r="I477" s="131"/>
      <c r="J477" s="180">
        <v>0</v>
      </c>
      <c r="K477" s="156">
        <f t="shared" si="25"/>
        <v>6</v>
      </c>
    </row>
    <row r="478" spans="1:11" x14ac:dyDescent="0.25">
      <c r="B478" s="277"/>
      <c r="C478" s="151" t="s">
        <v>156</v>
      </c>
      <c r="D478" s="332"/>
      <c r="E478" s="332"/>
      <c r="F478" s="314"/>
      <c r="G478" s="159" t="s">
        <v>41</v>
      </c>
      <c r="H478" s="131">
        <v>6</v>
      </c>
      <c r="I478" s="131"/>
      <c r="J478" s="180">
        <v>0</v>
      </c>
      <c r="K478" s="156">
        <f t="shared" si="25"/>
        <v>6</v>
      </c>
    </row>
    <row r="479" spans="1:11" x14ac:dyDescent="0.25">
      <c r="B479" s="275">
        <v>2</v>
      </c>
      <c r="C479" s="177" t="s">
        <v>81</v>
      </c>
      <c r="D479" s="330" t="s">
        <v>14</v>
      </c>
      <c r="E479" s="330" t="s">
        <v>17</v>
      </c>
      <c r="F479" s="312" t="s">
        <v>16</v>
      </c>
      <c r="G479" s="198" t="s">
        <v>15</v>
      </c>
      <c r="H479" s="179">
        <v>40</v>
      </c>
      <c r="I479" s="179"/>
      <c r="J479" s="180">
        <v>1</v>
      </c>
      <c r="K479" s="156">
        <f t="shared" si="25"/>
        <v>39</v>
      </c>
    </row>
    <row r="480" spans="1:11" x14ac:dyDescent="0.25">
      <c r="B480" s="276"/>
      <c r="C480" s="151" t="s">
        <v>161</v>
      </c>
      <c r="D480" s="331"/>
      <c r="E480" s="331"/>
      <c r="F480" s="313"/>
      <c r="G480" s="159" t="s">
        <v>84</v>
      </c>
      <c r="H480" s="131">
        <v>28</v>
      </c>
      <c r="I480" s="131"/>
      <c r="J480" s="180">
        <v>1</v>
      </c>
      <c r="K480" s="156">
        <f t="shared" si="25"/>
        <v>27</v>
      </c>
    </row>
    <row r="481" spans="2:11" x14ac:dyDescent="0.25">
      <c r="B481" s="276"/>
      <c r="C481" s="151" t="s">
        <v>162</v>
      </c>
      <c r="D481" s="331"/>
      <c r="E481" s="331"/>
      <c r="F481" s="313"/>
      <c r="G481" s="159" t="s">
        <v>27</v>
      </c>
      <c r="H481" s="131">
        <v>30</v>
      </c>
      <c r="I481" s="131"/>
      <c r="J481" s="180">
        <v>1</v>
      </c>
      <c r="K481" s="156">
        <f t="shared" si="25"/>
        <v>29</v>
      </c>
    </row>
    <row r="482" spans="2:11" x14ac:dyDescent="0.25">
      <c r="B482" s="276"/>
      <c r="C482" s="151" t="s">
        <v>163</v>
      </c>
      <c r="D482" s="331"/>
      <c r="E482" s="331"/>
      <c r="F482" s="313"/>
      <c r="G482" s="159" t="s">
        <v>84</v>
      </c>
      <c r="H482" s="131">
        <v>42</v>
      </c>
      <c r="I482" s="131"/>
      <c r="J482" s="180">
        <v>1</v>
      </c>
      <c r="K482" s="156">
        <f t="shared" si="25"/>
        <v>41</v>
      </c>
    </row>
    <row r="483" spans="2:11" x14ac:dyDescent="0.25">
      <c r="B483" s="276"/>
      <c r="C483" s="151" t="s">
        <v>164</v>
      </c>
      <c r="D483" s="331"/>
      <c r="E483" s="331"/>
      <c r="F483" s="313"/>
      <c r="G483" s="159" t="s">
        <v>84</v>
      </c>
      <c r="H483" s="131">
        <v>32</v>
      </c>
      <c r="I483" s="131"/>
      <c r="J483" s="180">
        <v>1</v>
      </c>
      <c r="K483" s="156">
        <f t="shared" si="25"/>
        <v>31</v>
      </c>
    </row>
    <row r="484" spans="2:11" x14ac:dyDescent="0.25">
      <c r="B484" s="276"/>
      <c r="C484" s="151" t="s">
        <v>165</v>
      </c>
      <c r="D484" s="331"/>
      <c r="E484" s="331"/>
      <c r="F484" s="313"/>
      <c r="G484" s="159" t="s">
        <v>27</v>
      </c>
      <c r="H484" s="131">
        <v>26</v>
      </c>
      <c r="I484" s="131"/>
      <c r="J484" s="180">
        <v>1</v>
      </c>
      <c r="K484" s="156">
        <f t="shared" si="25"/>
        <v>25</v>
      </c>
    </row>
    <row r="485" spans="2:11" x14ac:dyDescent="0.25">
      <c r="B485" s="277"/>
      <c r="C485" s="151" t="s">
        <v>166</v>
      </c>
      <c r="D485" s="332"/>
      <c r="E485" s="332"/>
      <c r="F485" s="314"/>
      <c r="G485" s="159" t="s">
        <v>27</v>
      </c>
      <c r="H485" s="131">
        <v>40</v>
      </c>
      <c r="I485" s="131"/>
      <c r="J485" s="180">
        <v>1</v>
      </c>
      <c r="K485" s="156">
        <f t="shared" si="25"/>
        <v>39</v>
      </c>
    </row>
    <row r="486" spans="2:11" x14ac:dyDescent="0.25">
      <c r="B486" s="275">
        <v>2</v>
      </c>
      <c r="C486" s="199" t="s">
        <v>81</v>
      </c>
      <c r="D486" s="327" t="s">
        <v>14</v>
      </c>
      <c r="E486" s="327" t="s">
        <v>17</v>
      </c>
      <c r="F486" s="354" t="s">
        <v>16</v>
      </c>
      <c r="G486" s="200" t="s">
        <v>43</v>
      </c>
      <c r="H486" s="201">
        <v>41</v>
      </c>
      <c r="I486" s="201"/>
      <c r="J486" s="202">
        <v>1</v>
      </c>
      <c r="K486" s="156">
        <f t="shared" si="25"/>
        <v>40</v>
      </c>
    </row>
    <row r="487" spans="2:11" x14ac:dyDescent="0.25">
      <c r="B487" s="276"/>
      <c r="C487" s="151" t="s">
        <v>161</v>
      </c>
      <c r="D487" s="328"/>
      <c r="E487" s="328"/>
      <c r="F487" s="355"/>
      <c r="G487" s="159" t="s">
        <v>31</v>
      </c>
      <c r="H487" s="131">
        <v>39</v>
      </c>
      <c r="I487" s="131"/>
      <c r="J487" s="202">
        <v>1</v>
      </c>
      <c r="K487" s="156">
        <f t="shared" si="25"/>
        <v>38</v>
      </c>
    </row>
    <row r="488" spans="2:11" x14ac:dyDescent="0.25">
      <c r="B488" s="276"/>
      <c r="C488" s="151" t="s">
        <v>162</v>
      </c>
      <c r="D488" s="328"/>
      <c r="E488" s="328"/>
      <c r="F488" s="355"/>
      <c r="G488" s="159" t="s">
        <v>46</v>
      </c>
      <c r="H488" s="131">
        <v>36</v>
      </c>
      <c r="I488" s="131"/>
      <c r="J488" s="202">
        <v>1</v>
      </c>
      <c r="K488" s="156">
        <f t="shared" si="25"/>
        <v>35</v>
      </c>
    </row>
    <row r="489" spans="2:11" x14ac:dyDescent="0.25">
      <c r="B489" s="276"/>
      <c r="C489" s="151" t="s">
        <v>163</v>
      </c>
      <c r="D489" s="328"/>
      <c r="E489" s="328"/>
      <c r="F489" s="355"/>
      <c r="G489" s="159" t="s">
        <v>31</v>
      </c>
      <c r="H489" s="131">
        <v>41</v>
      </c>
      <c r="I489" s="131"/>
      <c r="J489" s="202">
        <v>1</v>
      </c>
      <c r="K489" s="156">
        <f t="shared" si="25"/>
        <v>40</v>
      </c>
    </row>
    <row r="490" spans="2:11" x14ac:dyDescent="0.25">
      <c r="B490" s="276"/>
      <c r="C490" s="151" t="s">
        <v>164</v>
      </c>
      <c r="D490" s="328"/>
      <c r="E490" s="328"/>
      <c r="F490" s="355"/>
      <c r="G490" s="159" t="s">
        <v>31</v>
      </c>
      <c r="H490" s="131">
        <v>36</v>
      </c>
      <c r="I490" s="131"/>
      <c r="J490" s="202">
        <v>1</v>
      </c>
      <c r="K490" s="156">
        <f t="shared" si="25"/>
        <v>35</v>
      </c>
    </row>
    <row r="491" spans="2:11" x14ac:dyDescent="0.25">
      <c r="B491" s="276"/>
      <c r="C491" s="151" t="s">
        <v>165</v>
      </c>
      <c r="D491" s="328"/>
      <c r="E491" s="328"/>
      <c r="F491" s="355"/>
      <c r="G491" s="159" t="s">
        <v>46</v>
      </c>
      <c r="H491" s="131">
        <v>41</v>
      </c>
      <c r="I491" s="131"/>
      <c r="J491" s="202">
        <v>1</v>
      </c>
      <c r="K491" s="156">
        <f t="shared" si="25"/>
        <v>40</v>
      </c>
    </row>
    <row r="492" spans="2:11" x14ac:dyDescent="0.25">
      <c r="B492" s="277"/>
      <c r="C492" s="151" t="s">
        <v>166</v>
      </c>
      <c r="D492" s="329"/>
      <c r="E492" s="329"/>
      <c r="F492" s="356"/>
      <c r="G492" s="159" t="s">
        <v>46</v>
      </c>
      <c r="H492" s="131">
        <v>39</v>
      </c>
      <c r="I492" s="131"/>
      <c r="J492" s="202">
        <v>1</v>
      </c>
      <c r="K492" s="156">
        <f t="shared" si="25"/>
        <v>38</v>
      </c>
    </row>
    <row r="493" spans="2:11" x14ac:dyDescent="0.25">
      <c r="B493" s="275">
        <v>2</v>
      </c>
      <c r="C493" s="199" t="s">
        <v>81</v>
      </c>
      <c r="D493" s="327" t="s">
        <v>14</v>
      </c>
      <c r="E493" s="327" t="s">
        <v>17</v>
      </c>
      <c r="F493" s="354" t="s">
        <v>16</v>
      </c>
      <c r="G493" s="200" t="s">
        <v>48</v>
      </c>
      <c r="H493" s="201">
        <v>30</v>
      </c>
      <c r="I493" s="201"/>
      <c r="J493" s="202">
        <v>1</v>
      </c>
      <c r="K493" s="156">
        <f t="shared" si="25"/>
        <v>29</v>
      </c>
    </row>
    <row r="494" spans="2:11" x14ac:dyDescent="0.25">
      <c r="B494" s="276"/>
      <c r="C494" s="151" t="s">
        <v>161</v>
      </c>
      <c r="D494" s="328"/>
      <c r="E494" s="328"/>
      <c r="F494" s="355"/>
      <c r="G494" s="159" t="s">
        <v>49</v>
      </c>
      <c r="H494" s="131">
        <v>30</v>
      </c>
      <c r="I494" s="131"/>
      <c r="J494" s="202">
        <v>1</v>
      </c>
      <c r="K494" s="156">
        <f t="shared" si="25"/>
        <v>29</v>
      </c>
    </row>
    <row r="495" spans="2:11" x14ac:dyDescent="0.25">
      <c r="B495" s="276"/>
      <c r="C495" s="8" t="s">
        <v>162</v>
      </c>
      <c r="D495" s="328"/>
      <c r="E495" s="328"/>
      <c r="F495" s="355"/>
      <c r="G495" s="159" t="s">
        <v>141</v>
      </c>
      <c r="H495" s="131">
        <v>26</v>
      </c>
      <c r="I495" s="131"/>
      <c r="J495" s="202">
        <v>1</v>
      </c>
      <c r="K495" s="156">
        <f t="shared" si="25"/>
        <v>25</v>
      </c>
    </row>
    <row r="496" spans="2:11" x14ac:dyDescent="0.25">
      <c r="B496" s="276"/>
      <c r="C496" s="151" t="s">
        <v>163</v>
      </c>
      <c r="D496" s="328"/>
      <c r="E496" s="328"/>
      <c r="F496" s="355"/>
      <c r="G496" s="159" t="s">
        <v>49</v>
      </c>
      <c r="H496" s="131">
        <v>13</v>
      </c>
      <c r="I496" s="131"/>
      <c r="J496" s="202">
        <v>1</v>
      </c>
      <c r="K496" s="156">
        <f t="shared" si="25"/>
        <v>12</v>
      </c>
    </row>
    <row r="497" spans="2:11" x14ac:dyDescent="0.25">
      <c r="B497" s="276"/>
      <c r="C497" s="151" t="s">
        <v>164</v>
      </c>
      <c r="D497" s="328"/>
      <c r="E497" s="328"/>
      <c r="F497" s="355"/>
      <c r="G497" s="159" t="s">
        <v>49</v>
      </c>
      <c r="H497" s="131">
        <v>21</v>
      </c>
      <c r="I497" s="131"/>
      <c r="J497" s="202">
        <v>1</v>
      </c>
      <c r="K497" s="156">
        <f t="shared" si="25"/>
        <v>20</v>
      </c>
    </row>
    <row r="498" spans="2:11" x14ac:dyDescent="0.25">
      <c r="B498" s="276"/>
      <c r="C498" s="151" t="s">
        <v>165</v>
      </c>
      <c r="D498" s="328"/>
      <c r="E498" s="328"/>
      <c r="F498" s="355"/>
      <c r="G498" s="159" t="s">
        <v>141</v>
      </c>
      <c r="H498" s="131">
        <v>20</v>
      </c>
      <c r="I498" s="131"/>
      <c r="J498" s="202">
        <v>1</v>
      </c>
      <c r="K498" s="156">
        <f t="shared" si="25"/>
        <v>19</v>
      </c>
    </row>
    <row r="499" spans="2:11" x14ac:dyDescent="0.25">
      <c r="B499" s="277"/>
      <c r="C499" s="151" t="s">
        <v>166</v>
      </c>
      <c r="D499" s="329"/>
      <c r="E499" s="329"/>
      <c r="F499" s="356"/>
      <c r="G499" s="159" t="s">
        <v>141</v>
      </c>
      <c r="H499" s="131">
        <v>16</v>
      </c>
      <c r="I499" s="131"/>
      <c r="J499" s="202">
        <v>1</v>
      </c>
      <c r="K499" s="156">
        <f t="shared" si="25"/>
        <v>15</v>
      </c>
    </row>
    <row r="500" spans="2:11" x14ac:dyDescent="0.25">
      <c r="B500" s="275">
        <v>2</v>
      </c>
      <c r="C500" s="199" t="s">
        <v>81</v>
      </c>
      <c r="D500" s="327" t="s">
        <v>14</v>
      </c>
      <c r="E500" s="327" t="s">
        <v>17</v>
      </c>
      <c r="F500" s="354" t="s">
        <v>16</v>
      </c>
      <c r="G500" s="200" t="s">
        <v>50</v>
      </c>
      <c r="H500" s="201">
        <v>33</v>
      </c>
      <c r="I500" s="201"/>
      <c r="J500" s="202">
        <v>0</v>
      </c>
      <c r="K500" s="156">
        <f t="shared" si="25"/>
        <v>33</v>
      </c>
    </row>
    <row r="501" spans="2:11" x14ac:dyDescent="0.25">
      <c r="B501" s="276"/>
      <c r="C501" s="151" t="s">
        <v>161</v>
      </c>
      <c r="D501" s="328"/>
      <c r="E501" s="328"/>
      <c r="F501" s="355"/>
      <c r="G501" s="159" t="s">
        <v>51</v>
      </c>
      <c r="H501" s="131">
        <v>25</v>
      </c>
      <c r="I501" s="131"/>
      <c r="J501" s="180">
        <v>0</v>
      </c>
      <c r="K501" s="156">
        <f t="shared" si="25"/>
        <v>25</v>
      </c>
    </row>
    <row r="502" spans="2:11" x14ac:dyDescent="0.25">
      <c r="B502" s="276"/>
      <c r="C502" s="151" t="s">
        <v>162</v>
      </c>
      <c r="D502" s="328"/>
      <c r="E502" s="328"/>
      <c r="F502" s="355"/>
      <c r="G502" s="159" t="s">
        <v>152</v>
      </c>
      <c r="H502" s="131">
        <v>30</v>
      </c>
      <c r="I502" s="131"/>
      <c r="J502" s="180">
        <v>0</v>
      </c>
      <c r="K502" s="156">
        <f t="shared" si="25"/>
        <v>30</v>
      </c>
    </row>
    <row r="503" spans="2:11" x14ac:dyDescent="0.25">
      <c r="B503" s="276"/>
      <c r="C503" s="151" t="s">
        <v>163</v>
      </c>
      <c r="D503" s="328"/>
      <c r="E503" s="328"/>
      <c r="F503" s="355"/>
      <c r="G503" s="159" t="s">
        <v>51</v>
      </c>
      <c r="H503" s="131">
        <v>25</v>
      </c>
      <c r="I503" s="131"/>
      <c r="J503" s="180">
        <v>0</v>
      </c>
      <c r="K503" s="156">
        <f t="shared" si="25"/>
        <v>25</v>
      </c>
    </row>
    <row r="504" spans="2:11" x14ac:dyDescent="0.25">
      <c r="B504" s="276"/>
      <c r="C504" s="151" t="s">
        <v>164</v>
      </c>
      <c r="D504" s="328"/>
      <c r="E504" s="328"/>
      <c r="F504" s="355"/>
      <c r="G504" s="159" t="s">
        <v>51</v>
      </c>
      <c r="H504" s="131">
        <v>33</v>
      </c>
      <c r="I504" s="131"/>
      <c r="J504" s="180">
        <v>0</v>
      </c>
      <c r="K504" s="156">
        <f t="shared" si="25"/>
        <v>33</v>
      </c>
    </row>
    <row r="505" spans="2:11" x14ac:dyDescent="0.25">
      <c r="B505" s="276"/>
      <c r="C505" s="151" t="s">
        <v>165</v>
      </c>
      <c r="D505" s="328"/>
      <c r="E505" s="328"/>
      <c r="F505" s="355"/>
      <c r="G505" s="159" t="s">
        <v>152</v>
      </c>
      <c r="H505" s="131">
        <v>35</v>
      </c>
      <c r="I505" s="131"/>
      <c r="J505" s="180">
        <v>0</v>
      </c>
      <c r="K505" s="156">
        <f t="shared" si="25"/>
        <v>35</v>
      </c>
    </row>
    <row r="506" spans="2:11" x14ac:dyDescent="0.25">
      <c r="B506" s="277"/>
      <c r="C506" s="151" t="s">
        <v>166</v>
      </c>
      <c r="D506" s="329"/>
      <c r="E506" s="329"/>
      <c r="F506" s="356"/>
      <c r="G506" s="159" t="s">
        <v>152</v>
      </c>
      <c r="H506" s="131">
        <v>27</v>
      </c>
      <c r="I506" s="131"/>
      <c r="J506" s="180">
        <v>0</v>
      </c>
      <c r="K506" s="156">
        <f t="shared" si="25"/>
        <v>27</v>
      </c>
    </row>
    <row r="511" spans="2:11" x14ac:dyDescent="0.25">
      <c r="F511" s="287" t="s">
        <v>89</v>
      </c>
      <c r="G511" s="288"/>
      <c r="H511" s="6"/>
      <c r="I511" s="6"/>
      <c r="J511" s="7"/>
      <c r="K511" s="7"/>
    </row>
  </sheetData>
  <autoFilter ref="B4:K511" xr:uid="{AF93512A-31FA-4D5D-9BC7-7DCCC150D4F2}"/>
  <mergeCells count="295">
    <mergeCell ref="F117:F123"/>
    <mergeCell ref="F493:F499"/>
    <mergeCell ref="F500:F506"/>
    <mergeCell ref="E444:E450"/>
    <mergeCell ref="F430:F436"/>
    <mergeCell ref="F437:F443"/>
    <mergeCell ref="F444:F450"/>
    <mergeCell ref="F451:F457"/>
    <mergeCell ref="F458:F464"/>
    <mergeCell ref="F465:F471"/>
    <mergeCell ref="F472:F478"/>
    <mergeCell ref="F479:F485"/>
    <mergeCell ref="F486:F492"/>
    <mergeCell ref="E430:E436"/>
    <mergeCell ref="F367:F373"/>
    <mergeCell ref="F374:F380"/>
    <mergeCell ref="F381:F387"/>
    <mergeCell ref="F388:F394"/>
    <mergeCell ref="F395:F401"/>
    <mergeCell ref="F402:F408"/>
    <mergeCell ref="F409:F415"/>
    <mergeCell ref="F416:F422"/>
    <mergeCell ref="F423:F429"/>
    <mergeCell ref="F304:F310"/>
    <mergeCell ref="F311:F317"/>
    <mergeCell ref="F318:F324"/>
    <mergeCell ref="F325:F331"/>
    <mergeCell ref="F332:F338"/>
    <mergeCell ref="F339:F345"/>
    <mergeCell ref="F346:F352"/>
    <mergeCell ref="F353:F359"/>
    <mergeCell ref="F360:F366"/>
    <mergeCell ref="F241:F247"/>
    <mergeCell ref="F248:F254"/>
    <mergeCell ref="F255:F261"/>
    <mergeCell ref="F262:F268"/>
    <mergeCell ref="F269:F275"/>
    <mergeCell ref="F276:F282"/>
    <mergeCell ref="F283:F289"/>
    <mergeCell ref="F290:F296"/>
    <mergeCell ref="F297:F303"/>
    <mergeCell ref="F187:F193"/>
    <mergeCell ref="F194:F200"/>
    <mergeCell ref="F201:F207"/>
    <mergeCell ref="F208:F211"/>
    <mergeCell ref="F212:F218"/>
    <mergeCell ref="F219:F226"/>
    <mergeCell ref="F227:F233"/>
    <mergeCell ref="F234:F240"/>
    <mergeCell ref="F124:F130"/>
    <mergeCell ref="F131:F137"/>
    <mergeCell ref="F138:F144"/>
    <mergeCell ref="F145:F151"/>
    <mergeCell ref="F152:F158"/>
    <mergeCell ref="F159:F165"/>
    <mergeCell ref="F166:F172"/>
    <mergeCell ref="F173:F179"/>
    <mergeCell ref="F180:F186"/>
    <mergeCell ref="F54:F60"/>
    <mergeCell ref="F61:F67"/>
    <mergeCell ref="F68:F74"/>
    <mergeCell ref="F75:F81"/>
    <mergeCell ref="F82:F88"/>
    <mergeCell ref="F89:F95"/>
    <mergeCell ref="F96:F102"/>
    <mergeCell ref="F103:F109"/>
    <mergeCell ref="F110:F116"/>
    <mergeCell ref="E304:E310"/>
    <mergeCell ref="E297:E303"/>
    <mergeCell ref="E290:E296"/>
    <mergeCell ref="E283:E289"/>
    <mergeCell ref="E276:E282"/>
    <mergeCell ref="E269:E275"/>
    <mergeCell ref="E262:E268"/>
    <mergeCell ref="E255:E261"/>
    <mergeCell ref="E248:E254"/>
    <mergeCell ref="E367:E373"/>
    <mergeCell ref="E360:E366"/>
    <mergeCell ref="E353:E359"/>
    <mergeCell ref="E346:E352"/>
    <mergeCell ref="E339:E345"/>
    <mergeCell ref="E332:E338"/>
    <mergeCell ref="E325:E331"/>
    <mergeCell ref="E318:E324"/>
    <mergeCell ref="E311:E317"/>
    <mergeCell ref="E423:E429"/>
    <mergeCell ref="E416:E422"/>
    <mergeCell ref="E409:E415"/>
    <mergeCell ref="E402:E408"/>
    <mergeCell ref="E395:E401"/>
    <mergeCell ref="E388:E394"/>
    <mergeCell ref="E381:E387"/>
    <mergeCell ref="E374:E380"/>
    <mergeCell ref="D486:D492"/>
    <mergeCell ref="E486:E492"/>
    <mergeCell ref="D374:D380"/>
    <mergeCell ref="D381:D387"/>
    <mergeCell ref="D388:D394"/>
    <mergeCell ref="D395:D401"/>
    <mergeCell ref="D402:D408"/>
    <mergeCell ref="D409:D415"/>
    <mergeCell ref="D416:D422"/>
    <mergeCell ref="D423:D429"/>
    <mergeCell ref="D430:D436"/>
    <mergeCell ref="D493:D499"/>
    <mergeCell ref="E493:E499"/>
    <mergeCell ref="D500:D506"/>
    <mergeCell ref="E500:E506"/>
    <mergeCell ref="E451:E457"/>
    <mergeCell ref="E458:E464"/>
    <mergeCell ref="E465:E471"/>
    <mergeCell ref="D437:D443"/>
    <mergeCell ref="D444:D450"/>
    <mergeCell ref="D451:D457"/>
    <mergeCell ref="D458:D464"/>
    <mergeCell ref="D465:D471"/>
    <mergeCell ref="D472:D478"/>
    <mergeCell ref="E472:E478"/>
    <mergeCell ref="D479:D485"/>
    <mergeCell ref="E479:E485"/>
    <mergeCell ref="E437:E443"/>
    <mergeCell ref="B472:B478"/>
    <mergeCell ref="B479:B485"/>
    <mergeCell ref="B486:B492"/>
    <mergeCell ref="B493:B499"/>
    <mergeCell ref="B500:B506"/>
    <mergeCell ref="D248:D254"/>
    <mergeCell ref="D255:D261"/>
    <mergeCell ref="D262:D268"/>
    <mergeCell ref="D269:D275"/>
    <mergeCell ref="D276:D282"/>
    <mergeCell ref="D283:D289"/>
    <mergeCell ref="D290:D296"/>
    <mergeCell ref="D297:D303"/>
    <mergeCell ref="D304:D310"/>
    <mergeCell ref="D311:D317"/>
    <mergeCell ref="D318:D324"/>
    <mergeCell ref="D325:D331"/>
    <mergeCell ref="D332:D338"/>
    <mergeCell ref="D339:D345"/>
    <mergeCell ref="D346:D352"/>
    <mergeCell ref="D353:D359"/>
    <mergeCell ref="D360:D366"/>
    <mergeCell ref="D367:D373"/>
    <mergeCell ref="B409:B415"/>
    <mergeCell ref="B416:B422"/>
    <mergeCell ref="B423:B429"/>
    <mergeCell ref="B430:B436"/>
    <mergeCell ref="B437:B443"/>
    <mergeCell ref="B444:B450"/>
    <mergeCell ref="B451:B457"/>
    <mergeCell ref="B458:B464"/>
    <mergeCell ref="B465:B471"/>
    <mergeCell ref="B346:B352"/>
    <mergeCell ref="B353:B359"/>
    <mergeCell ref="B360:B366"/>
    <mergeCell ref="B367:B373"/>
    <mergeCell ref="B374:B380"/>
    <mergeCell ref="B381:B387"/>
    <mergeCell ref="B388:B394"/>
    <mergeCell ref="B395:B401"/>
    <mergeCell ref="B402:B408"/>
    <mergeCell ref="B304:B310"/>
    <mergeCell ref="B311:B317"/>
    <mergeCell ref="B68:B74"/>
    <mergeCell ref="B75:B81"/>
    <mergeCell ref="D61:D67"/>
    <mergeCell ref="E61:E67"/>
    <mergeCell ref="D75:D81"/>
    <mergeCell ref="E75:E81"/>
    <mergeCell ref="D68:D74"/>
    <mergeCell ref="E68:E74"/>
    <mergeCell ref="B248:B254"/>
    <mergeCell ref="B89:B95"/>
    <mergeCell ref="E82:E88"/>
    <mergeCell ref="D89:D95"/>
    <mergeCell ref="E89:E95"/>
    <mergeCell ref="D96:D102"/>
    <mergeCell ref="E96:E102"/>
    <mergeCell ref="E159:E165"/>
    <mergeCell ref="D166:D172"/>
    <mergeCell ref="E166:E172"/>
    <mergeCell ref="D131:D137"/>
    <mergeCell ref="E131:E137"/>
    <mergeCell ref="D138:D144"/>
    <mergeCell ref="E138:E144"/>
    <mergeCell ref="B3:K3"/>
    <mergeCell ref="F33:F39"/>
    <mergeCell ref="F26:F32"/>
    <mergeCell ref="D40:D46"/>
    <mergeCell ref="E40:E46"/>
    <mergeCell ref="E33:E39"/>
    <mergeCell ref="B40:B46"/>
    <mergeCell ref="D47:D53"/>
    <mergeCell ref="E47:E53"/>
    <mergeCell ref="B47:B53"/>
    <mergeCell ref="F40:F46"/>
    <mergeCell ref="F47:F53"/>
    <mergeCell ref="D54:D60"/>
    <mergeCell ref="E54:E60"/>
    <mergeCell ref="B54:B60"/>
    <mergeCell ref="B61:B67"/>
    <mergeCell ref="B82:B88"/>
    <mergeCell ref="B318:B324"/>
    <mergeCell ref="B325:B331"/>
    <mergeCell ref="B332:B338"/>
    <mergeCell ref="B339:B345"/>
    <mergeCell ref="D110:D116"/>
    <mergeCell ref="E110:E116"/>
    <mergeCell ref="D124:D130"/>
    <mergeCell ref="E124:E130"/>
    <mergeCell ref="D103:D109"/>
    <mergeCell ref="E103:E109"/>
    <mergeCell ref="B96:B102"/>
    <mergeCell ref="B103:B109"/>
    <mergeCell ref="B255:B261"/>
    <mergeCell ref="B262:B268"/>
    <mergeCell ref="B269:B275"/>
    <mergeCell ref="B276:B282"/>
    <mergeCell ref="B283:B289"/>
    <mergeCell ref="B290:B296"/>
    <mergeCell ref="B297:B303"/>
    <mergeCell ref="B208:B211"/>
    <mergeCell ref="B201:B207"/>
    <mergeCell ref="B194:B200"/>
    <mergeCell ref="B187:B193"/>
    <mergeCell ref="B117:B123"/>
    <mergeCell ref="F511:G511"/>
    <mergeCell ref="B19:B25"/>
    <mergeCell ref="B5:B11"/>
    <mergeCell ref="B12:B18"/>
    <mergeCell ref="D12:D18"/>
    <mergeCell ref="E12:E18"/>
    <mergeCell ref="F12:F18"/>
    <mergeCell ref="D19:D25"/>
    <mergeCell ref="E19:E25"/>
    <mergeCell ref="F19:F25"/>
    <mergeCell ref="D5:D11"/>
    <mergeCell ref="E5:E11"/>
    <mergeCell ref="F5:F11"/>
    <mergeCell ref="D33:D39"/>
    <mergeCell ref="D82:D88"/>
    <mergeCell ref="B33:B39"/>
    <mergeCell ref="B26:B32"/>
    <mergeCell ref="D26:D32"/>
    <mergeCell ref="E26:E32"/>
    <mergeCell ref="D152:D158"/>
    <mergeCell ref="E152:E158"/>
    <mergeCell ref="D159:D165"/>
    <mergeCell ref="B124:B130"/>
    <mergeCell ref="B110:B116"/>
    <mergeCell ref="B180:B186"/>
    <mergeCell ref="B173:B179"/>
    <mergeCell ref="B166:B172"/>
    <mergeCell ref="B159:B165"/>
    <mergeCell ref="B152:B158"/>
    <mergeCell ref="D145:D151"/>
    <mergeCell ref="E145:E151"/>
    <mergeCell ref="D117:D123"/>
    <mergeCell ref="E117:E123"/>
    <mergeCell ref="D194:D200"/>
    <mergeCell ref="D201:D207"/>
    <mergeCell ref="E201:E207"/>
    <mergeCell ref="D208:D211"/>
    <mergeCell ref="E208:E211"/>
    <mergeCell ref="D173:D179"/>
    <mergeCell ref="E173:E179"/>
    <mergeCell ref="D180:D186"/>
    <mergeCell ref="E180:E186"/>
    <mergeCell ref="D187:D193"/>
    <mergeCell ref="E187:E193"/>
    <mergeCell ref="L423:L443"/>
    <mergeCell ref="L110:L137"/>
    <mergeCell ref="L138:L172"/>
    <mergeCell ref="O12:O32"/>
    <mergeCell ref="I12:J12"/>
    <mergeCell ref="D241:D247"/>
    <mergeCell ref="E241:E247"/>
    <mergeCell ref="B241:B247"/>
    <mergeCell ref="D227:D233"/>
    <mergeCell ref="E227:E233"/>
    <mergeCell ref="D234:D240"/>
    <mergeCell ref="E234:E240"/>
    <mergeCell ref="B234:B240"/>
    <mergeCell ref="B227:B233"/>
    <mergeCell ref="B212:B218"/>
    <mergeCell ref="D212:D218"/>
    <mergeCell ref="E212:E218"/>
    <mergeCell ref="D219:D226"/>
    <mergeCell ref="E219:E226"/>
    <mergeCell ref="B219:B226"/>
    <mergeCell ref="B145:B151"/>
    <mergeCell ref="B138:B144"/>
    <mergeCell ref="B131:B137"/>
    <mergeCell ref="E194:E200"/>
  </mergeCells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3F7A5B-8A0C-4A5D-9FD8-DA22CFD91805}">
  <sheetPr>
    <tabColor theme="9" tint="0.59999389629810485"/>
  </sheetPr>
  <dimension ref="A1:AD81"/>
  <sheetViews>
    <sheetView workbookViewId="0">
      <selection activeCell="B15" sqref="B15:D15"/>
    </sheetView>
  </sheetViews>
  <sheetFormatPr baseColWidth="10" defaultColWidth="9.140625" defaultRowHeight="15" x14ac:dyDescent="0.25"/>
  <cols>
    <col min="2" max="2" width="63" customWidth="1"/>
    <col min="3" max="3" width="15.28515625" customWidth="1"/>
    <col min="4" max="5" width="13.7109375" customWidth="1"/>
    <col min="7" max="7" width="16.7109375" customWidth="1"/>
    <col min="8" max="8" width="19.140625" customWidth="1"/>
    <col min="9" max="9" width="14.28515625" customWidth="1"/>
    <col min="10" max="10" width="17.7109375" customWidth="1"/>
    <col min="11" max="11" width="9.140625" customWidth="1"/>
    <col min="12" max="12" width="14.85546875" customWidth="1"/>
  </cols>
  <sheetData>
    <row r="1" spans="1:30" x14ac:dyDescent="0.25">
      <c r="A1" s="26"/>
      <c r="B1" s="27"/>
      <c r="C1" s="27"/>
      <c r="D1" s="27"/>
      <c r="E1" s="27"/>
      <c r="F1" s="46"/>
    </row>
    <row r="2" spans="1:30" x14ac:dyDescent="0.25">
      <c r="A2" s="361" t="s">
        <v>2</v>
      </c>
      <c r="B2" s="360" t="s">
        <v>167</v>
      </c>
      <c r="C2" s="360"/>
      <c r="D2" s="360"/>
      <c r="E2" s="360"/>
      <c r="F2" s="360"/>
      <c r="G2" s="360" t="s">
        <v>168</v>
      </c>
      <c r="H2" s="360"/>
      <c r="I2" s="360"/>
      <c r="J2" s="360"/>
      <c r="K2" s="360"/>
    </row>
    <row r="3" spans="1:30" ht="44.25" x14ac:dyDescent="0.25">
      <c r="A3" s="362"/>
      <c r="B3" s="66" t="s">
        <v>169</v>
      </c>
      <c r="C3" s="66" t="s">
        <v>170</v>
      </c>
      <c r="D3" s="209" t="s">
        <v>171</v>
      </c>
      <c r="E3" s="66" t="s">
        <v>172</v>
      </c>
      <c r="F3" s="66" t="s">
        <v>173</v>
      </c>
      <c r="G3" s="12" t="s">
        <v>174</v>
      </c>
      <c r="H3" s="72" t="s">
        <v>175</v>
      </c>
      <c r="I3" s="72" t="s">
        <v>176</v>
      </c>
      <c r="J3" s="73" t="s">
        <v>177</v>
      </c>
      <c r="K3" s="210" t="s">
        <v>178</v>
      </c>
    </row>
    <row r="4" spans="1:30" ht="15" customHeight="1" x14ac:dyDescent="0.25">
      <c r="A4" s="365">
        <v>1</v>
      </c>
      <c r="B4" s="11" t="s">
        <v>179</v>
      </c>
      <c r="C4" s="215">
        <v>31</v>
      </c>
      <c r="D4" s="215">
        <v>2</v>
      </c>
      <c r="E4" s="215"/>
      <c r="F4" s="215">
        <f>C4-D4-E4</f>
        <v>29</v>
      </c>
      <c r="G4" s="216">
        <v>1</v>
      </c>
      <c r="H4" s="216">
        <f>D4/C4*G4</f>
        <v>6.4516129032258063E-2</v>
      </c>
      <c r="I4" s="217">
        <f>E4/C4*G4</f>
        <v>0</v>
      </c>
      <c r="J4" s="217">
        <f>F4/D4*H4</f>
        <v>0.93548387096774188</v>
      </c>
      <c r="K4" s="55">
        <f>SUM(H4:J4)</f>
        <v>1</v>
      </c>
      <c r="L4" s="27"/>
      <c r="M4" s="27"/>
      <c r="N4" s="27"/>
      <c r="O4" s="27"/>
      <c r="P4" s="27"/>
      <c r="Q4" s="27"/>
      <c r="R4" s="27"/>
      <c r="S4" s="27"/>
      <c r="T4" s="27"/>
      <c r="U4" s="27"/>
      <c r="V4" s="27"/>
      <c r="W4" s="27"/>
      <c r="X4" s="27"/>
      <c r="Y4" s="27"/>
      <c r="Z4" s="27"/>
      <c r="AA4" s="27"/>
      <c r="AB4" s="27"/>
      <c r="AC4" s="27"/>
      <c r="AD4" s="46"/>
    </row>
    <row r="5" spans="1:30" ht="15" customHeight="1" x14ac:dyDescent="0.25">
      <c r="A5" s="366"/>
      <c r="B5" s="11" t="s">
        <v>39</v>
      </c>
      <c r="C5" s="215">
        <v>46</v>
      </c>
      <c r="D5" s="35">
        <v>7</v>
      </c>
      <c r="E5" s="35">
        <v>1</v>
      </c>
      <c r="F5" s="215">
        <f t="shared" ref="F5:F7" si="0">C5-D5-E5</f>
        <v>38</v>
      </c>
      <c r="G5" s="216">
        <v>1</v>
      </c>
      <c r="H5" s="218">
        <f>D5/C5*G5</f>
        <v>0.15217391304347827</v>
      </c>
      <c r="I5" s="219">
        <f t="shared" ref="I5:I7" si="1">E5/C5*G5</f>
        <v>2.1739130434782608E-2</v>
      </c>
      <c r="J5" s="219">
        <f>F5/D5*H5</f>
        <v>0.82608695652173925</v>
      </c>
      <c r="K5" s="211">
        <f t="shared" ref="K5" si="2">SUM(H5:J5)</f>
        <v>1</v>
      </c>
      <c r="AD5" s="29"/>
    </row>
    <row r="6" spans="1:30" ht="15" customHeight="1" x14ac:dyDescent="0.25">
      <c r="A6" s="366"/>
      <c r="B6" s="11" t="s">
        <v>180</v>
      </c>
      <c r="C6" s="215">
        <v>108</v>
      </c>
      <c r="D6" s="215">
        <v>20</v>
      </c>
      <c r="E6" s="215">
        <v>2</v>
      </c>
      <c r="F6" s="215">
        <f t="shared" si="0"/>
        <v>86</v>
      </c>
      <c r="G6" s="216">
        <v>1</v>
      </c>
      <c r="H6" s="216">
        <f>D6/C6*G6</f>
        <v>0.18518518518518517</v>
      </c>
      <c r="I6" s="217">
        <f t="shared" si="1"/>
        <v>1.8518518518518517E-2</v>
      </c>
      <c r="J6" s="217">
        <f>F6/D6*H6</f>
        <v>0.79629629629629617</v>
      </c>
      <c r="K6" s="53">
        <f>SUM(H6:J6)</f>
        <v>0.99999999999999989</v>
      </c>
      <c r="AD6" s="29"/>
    </row>
    <row r="7" spans="1:30" ht="15" customHeight="1" x14ac:dyDescent="0.25">
      <c r="A7" s="366"/>
      <c r="B7" s="11" t="s">
        <v>181</v>
      </c>
      <c r="C7" s="215">
        <v>64</v>
      </c>
      <c r="D7" s="215">
        <v>11</v>
      </c>
      <c r="E7" s="215">
        <v>1</v>
      </c>
      <c r="F7" s="215">
        <f t="shared" si="0"/>
        <v>52</v>
      </c>
      <c r="G7" s="216">
        <v>1</v>
      </c>
      <c r="H7" s="216">
        <f t="shared" ref="H7" si="3">D7/C7*G7</f>
        <v>0.171875</v>
      </c>
      <c r="I7" s="217">
        <f t="shared" si="1"/>
        <v>1.5625E-2</v>
      </c>
      <c r="J7" s="217">
        <f>F7/D7*H7</f>
        <v>0.8125</v>
      </c>
      <c r="K7" s="54">
        <f>SUM(H7:J7)</f>
        <v>1</v>
      </c>
      <c r="AD7" s="29"/>
    </row>
    <row r="8" spans="1:30" x14ac:dyDescent="0.25">
      <c r="A8" s="366"/>
      <c r="B8" s="45" t="s">
        <v>89</v>
      </c>
      <c r="C8" s="48">
        <f>SUM(C4:C7)</f>
        <v>249</v>
      </c>
      <c r="D8" s="49">
        <f>SUM(D4:D7)</f>
        <v>40</v>
      </c>
      <c r="E8" s="49"/>
      <c r="F8" s="49">
        <f>SUM(F4:F7)</f>
        <v>205</v>
      </c>
      <c r="G8" s="52"/>
      <c r="H8" s="52"/>
      <c r="I8" s="52"/>
      <c r="J8" s="52"/>
      <c r="AD8" s="29"/>
    </row>
    <row r="9" spans="1:30" x14ac:dyDescent="0.25">
      <c r="A9" s="366"/>
      <c r="F9" s="29"/>
      <c r="AD9" s="29"/>
    </row>
    <row r="10" spans="1:30" ht="15.75" customHeight="1" x14ac:dyDescent="0.25">
      <c r="A10" s="366"/>
      <c r="B10" s="360" t="s">
        <v>182</v>
      </c>
      <c r="C10" s="360"/>
      <c r="D10" s="360"/>
      <c r="E10" s="363"/>
      <c r="F10" s="363"/>
      <c r="G10" s="360" t="s">
        <v>168</v>
      </c>
      <c r="H10" s="360"/>
      <c r="I10" s="360"/>
      <c r="J10" s="360"/>
      <c r="K10" s="360"/>
      <c r="AD10" s="29"/>
    </row>
    <row r="11" spans="1:30" ht="15.75" customHeight="1" x14ac:dyDescent="0.25">
      <c r="A11" s="366"/>
      <c r="B11" s="47" t="s">
        <v>169</v>
      </c>
      <c r="C11" s="47" t="s">
        <v>170</v>
      </c>
      <c r="D11" s="47" t="s">
        <v>183</v>
      </c>
      <c r="E11" s="47" t="s">
        <v>172</v>
      </c>
      <c r="F11" s="47" t="s">
        <v>173</v>
      </c>
      <c r="G11" s="67" t="s">
        <v>174</v>
      </c>
      <c r="H11" s="68" t="s">
        <v>175</v>
      </c>
      <c r="I11" s="72" t="s">
        <v>176</v>
      </c>
      <c r="J11" s="68" t="s">
        <v>177</v>
      </c>
      <c r="K11" s="15" t="s">
        <v>178</v>
      </c>
      <c r="AD11" s="29"/>
    </row>
    <row r="12" spans="1:30" ht="17.25" customHeight="1" x14ac:dyDescent="0.25">
      <c r="A12" s="366"/>
      <c r="B12" s="11" t="s">
        <v>179</v>
      </c>
      <c r="C12" s="220">
        <v>33</v>
      </c>
      <c r="D12" s="220">
        <v>8</v>
      </c>
      <c r="E12" s="220"/>
      <c r="F12" s="220">
        <f>C12-D12</f>
        <v>25</v>
      </c>
      <c r="G12" s="216">
        <v>1</v>
      </c>
      <c r="H12" s="216">
        <f>D12/C12*G12</f>
        <v>0.24242424242424243</v>
      </c>
      <c r="I12" s="217">
        <f>E12/C12*G12</f>
        <v>0</v>
      </c>
      <c r="J12" s="217">
        <f>F12/D12*H12</f>
        <v>0.75757575757575757</v>
      </c>
      <c r="K12" s="55">
        <f>SUM(H12:J12)</f>
        <v>1</v>
      </c>
      <c r="AD12" s="29"/>
    </row>
    <row r="13" spans="1:30" ht="15.75" customHeight="1" x14ac:dyDescent="0.25">
      <c r="A13" s="366"/>
      <c r="B13" s="11" t="s">
        <v>184</v>
      </c>
      <c r="C13" s="215">
        <v>13</v>
      </c>
      <c r="D13" s="203">
        <v>4</v>
      </c>
      <c r="E13" s="203"/>
      <c r="F13" s="220">
        <f>C13-D13</f>
        <v>9</v>
      </c>
      <c r="G13" s="216">
        <v>1</v>
      </c>
      <c r="H13" s="216">
        <f>D13/C13*G13</f>
        <v>0.30769230769230771</v>
      </c>
      <c r="I13" s="217">
        <f t="shared" ref="I13:I23" si="4">E13/C13*G13</f>
        <v>0</v>
      </c>
      <c r="J13" s="217">
        <f t="shared" ref="J13:J23" si="5">F13/D13*H13</f>
        <v>0.69230769230769229</v>
      </c>
      <c r="K13" s="55">
        <f t="shared" ref="K13:K23" si="6">SUM(H13:J13)</f>
        <v>1</v>
      </c>
      <c r="AD13" s="29"/>
    </row>
    <row r="14" spans="1:30" ht="16.5" customHeight="1" x14ac:dyDescent="0.25">
      <c r="A14" s="366"/>
      <c r="B14" s="11" t="s">
        <v>39</v>
      </c>
      <c r="C14" s="215">
        <v>134</v>
      </c>
      <c r="D14" s="215">
        <v>44</v>
      </c>
      <c r="E14" s="215"/>
      <c r="F14" s="220">
        <f t="shared" ref="F14:F22" si="7">C14-D14</f>
        <v>90</v>
      </c>
      <c r="G14" s="216">
        <v>1</v>
      </c>
      <c r="H14" s="216">
        <f t="shared" ref="H14:H23" si="8">D14/C14*G14</f>
        <v>0.32835820895522388</v>
      </c>
      <c r="I14" s="217">
        <f t="shared" si="4"/>
        <v>0</v>
      </c>
      <c r="J14" s="217">
        <f t="shared" si="5"/>
        <v>0.67164179104477606</v>
      </c>
      <c r="K14" s="55">
        <f t="shared" si="6"/>
        <v>1</v>
      </c>
      <c r="AD14" s="29"/>
    </row>
    <row r="15" spans="1:30" ht="14.25" customHeight="1" x14ac:dyDescent="0.25">
      <c r="A15" s="366"/>
      <c r="B15" s="11" t="s">
        <v>180</v>
      </c>
      <c r="C15" s="215">
        <v>65</v>
      </c>
      <c r="D15" s="215">
        <v>17</v>
      </c>
      <c r="E15" s="215"/>
      <c r="F15" s="220">
        <f t="shared" si="7"/>
        <v>48</v>
      </c>
      <c r="G15" s="216">
        <v>1</v>
      </c>
      <c r="H15" s="216">
        <f t="shared" si="8"/>
        <v>0.26153846153846155</v>
      </c>
      <c r="I15" s="217">
        <f t="shared" si="4"/>
        <v>0</v>
      </c>
      <c r="J15" s="217">
        <f t="shared" si="5"/>
        <v>0.7384615384615385</v>
      </c>
      <c r="K15" s="55">
        <f t="shared" si="6"/>
        <v>1</v>
      </c>
      <c r="AD15" s="29"/>
    </row>
    <row r="16" spans="1:30" ht="17.25" customHeight="1" x14ac:dyDescent="0.25">
      <c r="A16" s="366"/>
      <c r="B16" s="11" t="s">
        <v>185</v>
      </c>
      <c r="C16" s="215">
        <v>21</v>
      </c>
      <c r="D16" s="215">
        <v>4</v>
      </c>
      <c r="E16" s="215"/>
      <c r="F16" s="220">
        <f t="shared" si="7"/>
        <v>17</v>
      </c>
      <c r="G16" s="216">
        <v>1</v>
      </c>
      <c r="H16" s="216">
        <f t="shared" si="8"/>
        <v>0.19047619047619047</v>
      </c>
      <c r="I16" s="217">
        <f t="shared" si="4"/>
        <v>0</v>
      </c>
      <c r="J16" s="217">
        <f t="shared" si="5"/>
        <v>0.80952380952380953</v>
      </c>
      <c r="K16" s="55">
        <f t="shared" si="6"/>
        <v>1</v>
      </c>
      <c r="AD16" s="29"/>
    </row>
    <row r="17" spans="1:30" ht="24.75" customHeight="1" x14ac:dyDescent="0.25">
      <c r="A17" s="366"/>
      <c r="B17" s="11" t="s">
        <v>186</v>
      </c>
      <c r="C17" s="215">
        <v>15</v>
      </c>
      <c r="D17" s="215">
        <v>2</v>
      </c>
      <c r="E17" s="215"/>
      <c r="F17" s="220">
        <f t="shared" si="7"/>
        <v>13</v>
      </c>
      <c r="G17" s="216">
        <v>1</v>
      </c>
      <c r="H17" s="216">
        <f>D17/C17*G17</f>
        <v>0.13333333333333333</v>
      </c>
      <c r="I17" s="217">
        <f t="shared" si="4"/>
        <v>0</v>
      </c>
      <c r="J17" s="217">
        <f t="shared" si="5"/>
        <v>0.8666666666666667</v>
      </c>
      <c r="K17" s="55">
        <f t="shared" si="6"/>
        <v>1</v>
      </c>
      <c r="AD17" s="29"/>
    </row>
    <row r="18" spans="1:30" ht="18.75" customHeight="1" x14ac:dyDescent="0.25">
      <c r="A18" s="366"/>
      <c r="B18" s="11" t="s">
        <v>187</v>
      </c>
      <c r="C18" s="215">
        <v>68</v>
      </c>
      <c r="D18" s="215">
        <v>15</v>
      </c>
      <c r="E18" s="215"/>
      <c r="F18" s="220">
        <f t="shared" si="7"/>
        <v>53</v>
      </c>
      <c r="G18" s="216">
        <v>1</v>
      </c>
      <c r="H18" s="216">
        <f t="shared" si="8"/>
        <v>0.22058823529411764</v>
      </c>
      <c r="I18" s="217">
        <f t="shared" si="4"/>
        <v>0</v>
      </c>
      <c r="J18" s="217">
        <f t="shared" si="5"/>
        <v>0.77941176470588225</v>
      </c>
      <c r="K18" s="55">
        <f t="shared" si="6"/>
        <v>0.99999999999999989</v>
      </c>
      <c r="AD18" s="29"/>
    </row>
    <row r="19" spans="1:30" ht="24" customHeight="1" x14ac:dyDescent="0.25">
      <c r="A19" s="366"/>
      <c r="B19" s="11" t="s">
        <v>188</v>
      </c>
      <c r="C19" s="215">
        <v>22</v>
      </c>
      <c r="D19" s="215">
        <v>3</v>
      </c>
      <c r="E19" s="215"/>
      <c r="F19" s="220">
        <f t="shared" si="7"/>
        <v>19</v>
      </c>
      <c r="G19" s="216">
        <v>1</v>
      </c>
      <c r="H19" s="216">
        <f t="shared" si="8"/>
        <v>0.13636363636363635</v>
      </c>
      <c r="I19" s="217">
        <f t="shared" si="4"/>
        <v>0</v>
      </c>
      <c r="J19" s="217">
        <f t="shared" si="5"/>
        <v>0.86363636363636354</v>
      </c>
      <c r="K19" s="55">
        <f t="shared" si="6"/>
        <v>0.99999999999999989</v>
      </c>
      <c r="AD19" s="29"/>
    </row>
    <row r="20" spans="1:30" ht="21" customHeight="1" x14ac:dyDescent="0.25">
      <c r="A20" s="366"/>
      <c r="B20" s="11" t="s">
        <v>73</v>
      </c>
      <c r="C20" s="215">
        <v>79</v>
      </c>
      <c r="D20" s="215">
        <v>6</v>
      </c>
      <c r="E20" s="215"/>
      <c r="F20" s="220">
        <f t="shared" si="7"/>
        <v>73</v>
      </c>
      <c r="G20" s="216">
        <v>1</v>
      </c>
      <c r="H20" s="216">
        <f t="shared" si="8"/>
        <v>7.5949367088607597E-2</v>
      </c>
      <c r="I20" s="217">
        <f t="shared" si="4"/>
        <v>0</v>
      </c>
      <c r="J20" s="217">
        <f t="shared" si="5"/>
        <v>0.92405063291139233</v>
      </c>
      <c r="K20" s="55">
        <f t="shared" si="6"/>
        <v>0.99999999999999989</v>
      </c>
      <c r="AD20" s="29"/>
    </row>
    <row r="21" spans="1:30" ht="21" customHeight="1" x14ac:dyDescent="0.25">
      <c r="A21" s="366"/>
      <c r="B21" s="11" t="s">
        <v>181</v>
      </c>
      <c r="C21" s="215">
        <v>44</v>
      </c>
      <c r="D21" s="215">
        <v>6</v>
      </c>
      <c r="E21" s="215"/>
      <c r="F21" s="220">
        <f t="shared" si="7"/>
        <v>38</v>
      </c>
      <c r="G21" s="216">
        <v>1</v>
      </c>
      <c r="H21" s="216">
        <f t="shared" si="8"/>
        <v>0.13636363636363635</v>
      </c>
      <c r="I21" s="217">
        <f t="shared" si="4"/>
        <v>0</v>
      </c>
      <c r="J21" s="217">
        <f t="shared" si="5"/>
        <v>0.86363636363636354</v>
      </c>
      <c r="K21" s="55">
        <f t="shared" si="6"/>
        <v>0.99999999999999989</v>
      </c>
      <c r="AD21" s="29"/>
    </row>
    <row r="22" spans="1:30" ht="19.5" customHeight="1" x14ac:dyDescent="0.25">
      <c r="A22" s="366"/>
      <c r="B22" s="34" t="s">
        <v>78</v>
      </c>
      <c r="C22" s="215">
        <v>11</v>
      </c>
      <c r="D22" s="215">
        <v>1</v>
      </c>
      <c r="E22" s="215"/>
      <c r="F22" s="220">
        <f t="shared" si="7"/>
        <v>10</v>
      </c>
      <c r="G22" s="216">
        <v>1</v>
      </c>
      <c r="H22" s="216">
        <f t="shared" si="8"/>
        <v>9.0909090909090912E-2</v>
      </c>
      <c r="I22" s="217">
        <f t="shared" si="4"/>
        <v>0</v>
      </c>
      <c r="J22" s="217">
        <f t="shared" si="5"/>
        <v>0.90909090909090917</v>
      </c>
      <c r="K22" s="55">
        <f t="shared" si="6"/>
        <v>1</v>
      </c>
      <c r="AD22" s="29"/>
    </row>
    <row r="23" spans="1:30" ht="13.5" customHeight="1" x14ac:dyDescent="0.25">
      <c r="A23" s="366"/>
      <c r="B23" s="34" t="s">
        <v>81</v>
      </c>
      <c r="C23" s="215">
        <v>33</v>
      </c>
      <c r="D23" s="215">
        <v>11</v>
      </c>
      <c r="E23" s="215">
        <v>2</v>
      </c>
      <c r="F23" s="220">
        <f>C23-D23-E23</f>
        <v>20</v>
      </c>
      <c r="G23" s="216">
        <v>1</v>
      </c>
      <c r="H23" s="216">
        <f t="shared" si="8"/>
        <v>0.33333333333333331</v>
      </c>
      <c r="I23" s="217">
        <f t="shared" si="4"/>
        <v>6.0606060606060608E-2</v>
      </c>
      <c r="J23" s="217">
        <f t="shared" si="5"/>
        <v>0.60606060606060597</v>
      </c>
      <c r="K23" s="55">
        <f t="shared" si="6"/>
        <v>0.99999999999999989</v>
      </c>
      <c r="AD23" s="29"/>
    </row>
    <row r="24" spans="1:30" x14ac:dyDescent="0.25">
      <c r="A24" s="366"/>
      <c r="B24" s="70" t="s">
        <v>89</v>
      </c>
      <c r="C24" s="50">
        <f>SUM(C12:C23)</f>
        <v>538</v>
      </c>
      <c r="D24" s="50">
        <f>SUM(D12:D23)</f>
        <v>121</v>
      </c>
      <c r="E24" s="50">
        <f>SUM(E12:E23)</f>
        <v>2</v>
      </c>
      <c r="F24" s="51">
        <f>SUM(F12:F23)</f>
        <v>415</v>
      </c>
      <c r="G24" s="37"/>
      <c r="AD24" s="29"/>
    </row>
    <row r="25" spans="1:30" ht="15.75" customHeight="1" x14ac:dyDescent="0.25">
      <c r="A25" s="366"/>
      <c r="B25" s="364" t="s">
        <v>12</v>
      </c>
      <c r="C25" s="364"/>
      <c r="D25" s="364"/>
      <c r="E25" s="364"/>
      <c r="F25" s="364"/>
      <c r="G25" s="360" t="s">
        <v>168</v>
      </c>
      <c r="H25" s="360"/>
      <c r="I25" s="360"/>
      <c r="J25" s="360"/>
      <c r="K25" s="360"/>
      <c r="AD25" s="29"/>
    </row>
    <row r="26" spans="1:30" ht="15.75" customHeight="1" x14ac:dyDescent="0.25">
      <c r="A26" s="366"/>
      <c r="B26" s="25" t="s">
        <v>169</v>
      </c>
      <c r="C26" s="25" t="s">
        <v>170</v>
      </c>
      <c r="D26" s="25" t="s">
        <v>183</v>
      </c>
      <c r="E26" s="47" t="s">
        <v>172</v>
      </c>
      <c r="F26" s="25" t="s">
        <v>173</v>
      </c>
      <c r="G26" s="13" t="s">
        <v>174</v>
      </c>
      <c r="H26" s="13" t="s">
        <v>175</v>
      </c>
      <c r="I26" s="72" t="s">
        <v>176</v>
      </c>
      <c r="J26" s="13" t="s">
        <v>177</v>
      </c>
      <c r="K26" s="14" t="s">
        <v>178</v>
      </c>
      <c r="L26" s="46" t="s">
        <v>189</v>
      </c>
      <c r="AD26" s="29"/>
    </row>
    <row r="27" spans="1:30" ht="16.5" customHeight="1" x14ac:dyDescent="0.25">
      <c r="A27" s="366"/>
      <c r="B27" s="59" t="s">
        <v>190</v>
      </c>
      <c r="C27" s="221">
        <v>14</v>
      </c>
      <c r="D27" s="221">
        <v>11</v>
      </c>
      <c r="E27" s="221"/>
      <c r="F27" s="220">
        <f>C27-D27</f>
        <v>3</v>
      </c>
      <c r="G27" s="222">
        <v>1</v>
      </c>
      <c r="H27" s="222">
        <f>D27/C27*G27</f>
        <v>0.7857142857142857</v>
      </c>
      <c r="I27" s="217">
        <f>E27/C27*G27</f>
        <v>0</v>
      </c>
      <c r="J27" s="223">
        <f>F27/D27*H27</f>
        <v>0.21428571428571427</v>
      </c>
      <c r="K27" s="208">
        <f t="shared" ref="K27:K34" si="9">SUM(H27:J27)</f>
        <v>1</v>
      </c>
      <c r="L27" s="42"/>
      <c r="AD27" s="29"/>
    </row>
    <row r="28" spans="1:30" ht="18.75" customHeight="1" x14ac:dyDescent="0.25">
      <c r="A28" s="366"/>
      <c r="B28" s="11" t="s">
        <v>39</v>
      </c>
      <c r="C28" s="215">
        <v>22</v>
      </c>
      <c r="D28" s="215">
        <v>10</v>
      </c>
      <c r="E28" s="215"/>
      <c r="F28" s="220">
        <f t="shared" ref="F28:F33" si="10">C28-D28</f>
        <v>12</v>
      </c>
      <c r="G28" s="216">
        <v>1</v>
      </c>
      <c r="H28" s="216">
        <f t="shared" ref="H28:H34" si="11">D28/C28*G28</f>
        <v>0.45454545454545453</v>
      </c>
      <c r="I28" s="217">
        <f t="shared" ref="I28:I33" si="12">E28/C28*G28</f>
        <v>0</v>
      </c>
      <c r="J28" s="217">
        <f t="shared" ref="J28:J34" si="13">F28/D28*H28</f>
        <v>0.54545454545454541</v>
      </c>
      <c r="K28" s="60">
        <f t="shared" si="9"/>
        <v>1</v>
      </c>
      <c r="L28" s="58"/>
      <c r="AD28" s="29"/>
    </row>
    <row r="29" spans="1:30" x14ac:dyDescent="0.25">
      <c r="A29" s="366"/>
      <c r="B29" s="11" t="s">
        <v>180</v>
      </c>
      <c r="C29" s="215">
        <v>61</v>
      </c>
      <c r="D29" s="215">
        <v>13</v>
      </c>
      <c r="E29" s="215"/>
      <c r="F29" s="220">
        <f t="shared" si="10"/>
        <v>48</v>
      </c>
      <c r="G29" s="216">
        <v>1</v>
      </c>
      <c r="H29" s="216">
        <f t="shared" si="11"/>
        <v>0.21311475409836064</v>
      </c>
      <c r="I29" s="217">
        <f t="shared" si="12"/>
        <v>0</v>
      </c>
      <c r="J29" s="217">
        <f t="shared" si="13"/>
        <v>0.78688524590163933</v>
      </c>
      <c r="K29" s="60">
        <f t="shared" si="9"/>
        <v>1</v>
      </c>
      <c r="L29" s="58"/>
      <c r="AD29" s="29"/>
    </row>
    <row r="30" spans="1:30" x14ac:dyDescent="0.25">
      <c r="A30" s="366"/>
      <c r="B30" s="11" t="s">
        <v>185</v>
      </c>
      <c r="C30" s="215">
        <v>10</v>
      </c>
      <c r="D30" s="215">
        <v>8</v>
      </c>
      <c r="E30" s="215"/>
      <c r="F30" s="220">
        <f t="shared" si="10"/>
        <v>2</v>
      </c>
      <c r="G30" s="216">
        <v>1</v>
      </c>
      <c r="H30" s="216">
        <f t="shared" si="11"/>
        <v>0.8</v>
      </c>
      <c r="I30" s="217">
        <f t="shared" si="12"/>
        <v>0</v>
      </c>
      <c r="J30" s="217">
        <f t="shared" si="13"/>
        <v>0.2</v>
      </c>
      <c r="K30" s="60">
        <f t="shared" si="9"/>
        <v>1</v>
      </c>
      <c r="L30" s="58"/>
      <c r="AD30" s="29"/>
    </row>
    <row r="31" spans="1:30" x14ac:dyDescent="0.25">
      <c r="A31" s="366"/>
      <c r="B31" s="11" t="s">
        <v>188</v>
      </c>
      <c r="C31" s="215">
        <v>54</v>
      </c>
      <c r="D31" s="215">
        <v>9</v>
      </c>
      <c r="E31" s="215">
        <v>2</v>
      </c>
      <c r="F31" s="220">
        <f>C31-D31-E31</f>
        <v>43</v>
      </c>
      <c r="G31" s="216">
        <v>1</v>
      </c>
      <c r="H31" s="216">
        <f t="shared" si="11"/>
        <v>0.16666666666666666</v>
      </c>
      <c r="I31" s="217">
        <f t="shared" si="12"/>
        <v>3.7037037037037035E-2</v>
      </c>
      <c r="J31" s="217">
        <f t="shared" si="13"/>
        <v>0.79629629629629628</v>
      </c>
      <c r="K31" s="60">
        <f t="shared" si="9"/>
        <v>1</v>
      </c>
      <c r="L31" s="58"/>
      <c r="AD31" s="29"/>
    </row>
    <row r="32" spans="1:30" x14ac:dyDescent="0.25">
      <c r="A32" s="366"/>
      <c r="B32" s="11" t="s">
        <v>73</v>
      </c>
      <c r="C32" s="215">
        <v>27</v>
      </c>
      <c r="D32" s="215">
        <v>14</v>
      </c>
      <c r="E32" s="215">
        <v>1</v>
      </c>
      <c r="F32" s="220">
        <f>C32-D32-E32</f>
        <v>12</v>
      </c>
      <c r="G32" s="216">
        <v>1</v>
      </c>
      <c r="H32" s="216">
        <f t="shared" si="11"/>
        <v>0.51851851851851849</v>
      </c>
      <c r="I32" s="217">
        <f t="shared" si="12"/>
        <v>3.7037037037037035E-2</v>
      </c>
      <c r="J32" s="217">
        <f t="shared" si="13"/>
        <v>0.44444444444444442</v>
      </c>
      <c r="K32" s="60">
        <f t="shared" si="9"/>
        <v>1</v>
      </c>
      <c r="L32" s="58"/>
      <c r="AD32" s="29"/>
    </row>
    <row r="33" spans="1:30" x14ac:dyDescent="0.25">
      <c r="A33" s="366"/>
      <c r="B33" s="11" t="s">
        <v>181</v>
      </c>
      <c r="C33" s="215">
        <v>28</v>
      </c>
      <c r="D33" s="215">
        <v>4</v>
      </c>
      <c r="E33" s="215"/>
      <c r="F33" s="220">
        <f t="shared" si="10"/>
        <v>24</v>
      </c>
      <c r="G33" s="216">
        <v>1</v>
      </c>
      <c r="H33" s="216">
        <f t="shared" si="11"/>
        <v>0.14285714285714285</v>
      </c>
      <c r="I33" s="217">
        <f t="shared" si="12"/>
        <v>0</v>
      </c>
      <c r="J33" s="217">
        <f t="shared" si="13"/>
        <v>0.8571428571428571</v>
      </c>
      <c r="K33" s="60">
        <f t="shared" si="9"/>
        <v>1</v>
      </c>
      <c r="L33" s="59"/>
      <c r="AD33" s="29"/>
    </row>
    <row r="34" spans="1:30" x14ac:dyDescent="0.25">
      <c r="A34" s="367"/>
      <c r="B34" s="74" t="s">
        <v>78</v>
      </c>
      <c r="C34" s="75">
        <v>6</v>
      </c>
      <c r="D34" s="75">
        <v>6</v>
      </c>
      <c r="E34" s="75"/>
      <c r="F34" s="75">
        <v>0</v>
      </c>
      <c r="G34" s="224">
        <v>1</v>
      </c>
      <c r="H34" s="224">
        <f t="shared" si="11"/>
        <v>1</v>
      </c>
      <c r="I34" s="225"/>
      <c r="J34" s="225">
        <f t="shared" si="13"/>
        <v>0</v>
      </c>
      <c r="K34" s="56">
        <f t="shared" si="9"/>
        <v>1</v>
      </c>
      <c r="L34" s="57" t="s">
        <v>191</v>
      </c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0"/>
      <c r="X34" s="30"/>
      <c r="Y34" s="30"/>
      <c r="Z34" s="30"/>
      <c r="AA34" s="30"/>
      <c r="AB34" s="30"/>
      <c r="AC34" s="30"/>
      <c r="AD34" s="31"/>
    </row>
    <row r="35" spans="1:30" x14ac:dyDescent="0.25">
      <c r="B35" s="45" t="s">
        <v>89</v>
      </c>
      <c r="C35" s="48">
        <f>SUM(C26:C34)</f>
        <v>222</v>
      </c>
      <c r="D35" s="48">
        <f>SUM(D27:D34)</f>
        <v>75</v>
      </c>
      <c r="E35" s="48">
        <f>SUM(E27:E33)</f>
        <v>3</v>
      </c>
      <c r="F35" s="48">
        <f>SUM(F26:F34)</f>
        <v>144</v>
      </c>
    </row>
    <row r="36" spans="1:30" x14ac:dyDescent="0.25">
      <c r="C36" s="12"/>
      <c r="D36" s="12"/>
      <c r="E36" s="12"/>
      <c r="F36" s="12"/>
    </row>
    <row r="38" spans="1:30" ht="18.75" x14ac:dyDescent="0.3">
      <c r="A38" s="76" t="s">
        <v>2</v>
      </c>
      <c r="B38" s="360" t="s">
        <v>17</v>
      </c>
      <c r="C38" s="360"/>
      <c r="D38" s="360"/>
      <c r="E38" s="363"/>
      <c r="F38" s="363"/>
      <c r="G38" s="360" t="s">
        <v>168</v>
      </c>
      <c r="H38" s="360"/>
      <c r="I38" s="360"/>
      <c r="J38" s="360"/>
      <c r="K38" s="360"/>
      <c r="L38" s="27"/>
      <c r="M38" s="27"/>
      <c r="N38" s="27"/>
      <c r="O38" s="27"/>
      <c r="P38" s="27"/>
      <c r="Q38" s="27"/>
      <c r="R38" s="27"/>
      <c r="S38" s="27"/>
      <c r="T38" s="27"/>
      <c r="U38" s="27"/>
      <c r="V38" s="27"/>
      <c r="W38" s="27"/>
      <c r="X38" s="27"/>
      <c r="Y38" s="27"/>
      <c r="Z38" s="27"/>
      <c r="AA38" s="27"/>
      <c r="AB38" s="27"/>
      <c r="AC38" s="27"/>
      <c r="AD38" s="46"/>
    </row>
    <row r="39" spans="1:30" ht="15.75" x14ac:dyDescent="0.25">
      <c r="A39" s="369">
        <v>2</v>
      </c>
      <c r="B39" s="66" t="s">
        <v>169</v>
      </c>
      <c r="C39" s="66" t="s">
        <v>170</v>
      </c>
      <c r="D39" s="66" t="s">
        <v>183</v>
      </c>
      <c r="E39" s="47" t="s">
        <v>172</v>
      </c>
      <c r="F39" s="66" t="s">
        <v>173</v>
      </c>
      <c r="G39" s="67" t="s">
        <v>174</v>
      </c>
      <c r="H39" s="68" t="s">
        <v>175</v>
      </c>
      <c r="I39" s="72" t="s">
        <v>176</v>
      </c>
      <c r="J39" s="69" t="s">
        <v>177</v>
      </c>
      <c r="K39" s="15" t="s">
        <v>178</v>
      </c>
      <c r="AD39" s="29"/>
    </row>
    <row r="40" spans="1:30" ht="15" customHeight="1" x14ac:dyDescent="0.25">
      <c r="A40" s="369"/>
      <c r="B40" s="41" t="s">
        <v>179</v>
      </c>
      <c r="C40" s="33">
        <v>57</v>
      </c>
      <c r="D40" s="33">
        <v>3</v>
      </c>
      <c r="E40" s="33">
        <v>1</v>
      </c>
      <c r="F40" s="220">
        <f>C40-D40-E40</f>
        <v>53</v>
      </c>
      <c r="G40" s="216">
        <v>1</v>
      </c>
      <c r="H40" s="216">
        <f>D40/C40*G40</f>
        <v>5.2631578947368418E-2</v>
      </c>
      <c r="I40" s="217">
        <f>E40/C40*G40</f>
        <v>1.7543859649122806E-2</v>
      </c>
      <c r="J40" s="217">
        <f>F40/D40*H40</f>
        <v>0.92982456140350878</v>
      </c>
      <c r="K40" s="54">
        <f t="shared" ref="K40:K52" si="14">SUM(H40:J40)</f>
        <v>1</v>
      </c>
      <c r="AD40" s="29"/>
    </row>
    <row r="41" spans="1:30" ht="15" customHeight="1" x14ac:dyDescent="0.25">
      <c r="A41" s="369"/>
      <c r="B41" s="41" t="s">
        <v>184</v>
      </c>
      <c r="C41" s="215">
        <v>36</v>
      </c>
      <c r="D41" s="215">
        <v>2</v>
      </c>
      <c r="E41" s="215"/>
      <c r="F41" s="220">
        <f t="shared" ref="F41:F52" si="15">C41-D41-E41</f>
        <v>34</v>
      </c>
      <c r="G41" s="216">
        <v>1</v>
      </c>
      <c r="H41" s="216">
        <f t="shared" ref="H41:H52" si="16">D41/C41*G41</f>
        <v>5.5555555555555552E-2</v>
      </c>
      <c r="I41" s="217">
        <f t="shared" ref="I41:I52" si="17">E41/C41*G41</f>
        <v>0</v>
      </c>
      <c r="J41" s="217">
        <f t="shared" ref="J41:J52" si="18">F41/D41*H41</f>
        <v>0.94444444444444442</v>
      </c>
      <c r="K41" s="54">
        <f t="shared" si="14"/>
        <v>1</v>
      </c>
      <c r="AD41" s="29"/>
    </row>
    <row r="42" spans="1:30" ht="15" customHeight="1" x14ac:dyDescent="0.25">
      <c r="A42" s="369"/>
      <c r="B42" s="41" t="s">
        <v>39</v>
      </c>
      <c r="C42" s="215">
        <v>96</v>
      </c>
      <c r="D42" s="215">
        <v>2</v>
      </c>
      <c r="E42" s="215">
        <v>1</v>
      </c>
      <c r="F42" s="220">
        <f t="shared" si="15"/>
        <v>93</v>
      </c>
      <c r="G42" s="216">
        <v>1</v>
      </c>
      <c r="H42" s="216">
        <f>D42/C42*G42</f>
        <v>2.0833333333333332E-2</v>
      </c>
      <c r="I42" s="217">
        <f t="shared" si="17"/>
        <v>1.0416666666666666E-2</v>
      </c>
      <c r="J42" s="217">
        <f t="shared" si="18"/>
        <v>0.96875</v>
      </c>
      <c r="K42" s="54">
        <f t="shared" si="14"/>
        <v>1</v>
      </c>
      <c r="AD42" s="29"/>
    </row>
    <row r="43" spans="1:30" ht="15" customHeight="1" x14ac:dyDescent="0.25">
      <c r="A43" s="369"/>
      <c r="B43" s="41" t="s">
        <v>180</v>
      </c>
      <c r="C43" s="215">
        <v>273</v>
      </c>
      <c r="D43" s="215">
        <v>1</v>
      </c>
      <c r="E43" s="215"/>
      <c r="F43" s="220">
        <f t="shared" si="15"/>
        <v>272</v>
      </c>
      <c r="G43" s="216">
        <v>1</v>
      </c>
      <c r="H43" s="216">
        <f t="shared" si="16"/>
        <v>3.663003663003663E-3</v>
      </c>
      <c r="I43" s="217">
        <f t="shared" si="17"/>
        <v>0</v>
      </c>
      <c r="J43" s="217">
        <f t="shared" si="18"/>
        <v>0.99633699633699635</v>
      </c>
      <c r="K43" s="54">
        <f t="shared" si="14"/>
        <v>1</v>
      </c>
      <c r="AD43" s="29"/>
    </row>
    <row r="44" spans="1:30" ht="15" customHeight="1" x14ac:dyDescent="0.25">
      <c r="A44" s="369"/>
      <c r="B44" s="41" t="s">
        <v>185</v>
      </c>
      <c r="C44" s="215">
        <v>41</v>
      </c>
      <c r="D44" s="215">
        <v>2</v>
      </c>
      <c r="E44" s="215"/>
      <c r="F44" s="220">
        <f t="shared" si="15"/>
        <v>39</v>
      </c>
      <c r="G44" s="216">
        <v>1</v>
      </c>
      <c r="H44" s="216">
        <f t="shared" si="16"/>
        <v>4.878048780487805E-2</v>
      </c>
      <c r="I44" s="217">
        <f t="shared" si="17"/>
        <v>0</v>
      </c>
      <c r="J44" s="217">
        <f t="shared" si="18"/>
        <v>0.95121951219512202</v>
      </c>
      <c r="K44" s="54">
        <f t="shared" si="14"/>
        <v>1</v>
      </c>
      <c r="AD44" s="29"/>
    </row>
    <row r="45" spans="1:30" ht="15" customHeight="1" x14ac:dyDescent="0.25">
      <c r="A45" s="369"/>
      <c r="B45" s="41" t="s">
        <v>186</v>
      </c>
      <c r="C45" s="215">
        <v>55</v>
      </c>
      <c r="D45" s="215">
        <v>0</v>
      </c>
      <c r="E45" s="215"/>
      <c r="F45" s="220">
        <f t="shared" si="15"/>
        <v>55</v>
      </c>
      <c r="G45" s="216">
        <v>1</v>
      </c>
      <c r="H45" s="216">
        <f>D45/C45*G45</f>
        <v>0</v>
      </c>
      <c r="I45" s="217">
        <f t="shared" si="17"/>
        <v>0</v>
      </c>
      <c r="J45" s="217" t="e">
        <f>F45/D45*H45</f>
        <v>#DIV/0!</v>
      </c>
      <c r="K45" s="54" t="e">
        <f>SUM(H45:J45)</f>
        <v>#DIV/0!</v>
      </c>
      <c r="AD45" s="29"/>
    </row>
    <row r="46" spans="1:30" ht="15" customHeight="1" x14ac:dyDescent="0.25">
      <c r="A46" s="369"/>
      <c r="B46" s="41" t="s">
        <v>187</v>
      </c>
      <c r="C46" s="215">
        <v>159</v>
      </c>
      <c r="D46" s="215">
        <v>6</v>
      </c>
      <c r="E46" s="215"/>
      <c r="F46" s="220">
        <f t="shared" si="15"/>
        <v>153</v>
      </c>
      <c r="G46" s="216">
        <v>1</v>
      </c>
      <c r="H46" s="216">
        <f t="shared" si="16"/>
        <v>3.7735849056603772E-2</v>
      </c>
      <c r="I46" s="217">
        <f t="shared" si="17"/>
        <v>0</v>
      </c>
      <c r="J46" s="217">
        <f t="shared" si="18"/>
        <v>0.96226415094339623</v>
      </c>
      <c r="K46" s="54">
        <f t="shared" si="14"/>
        <v>1</v>
      </c>
      <c r="AD46" s="29"/>
    </row>
    <row r="47" spans="1:30" ht="15" customHeight="1" x14ac:dyDescent="0.25">
      <c r="A47" s="369"/>
      <c r="B47" s="41" t="s">
        <v>188</v>
      </c>
      <c r="C47" s="215">
        <v>52</v>
      </c>
      <c r="D47" s="215">
        <v>3</v>
      </c>
      <c r="E47" s="215"/>
      <c r="F47" s="220">
        <f t="shared" si="15"/>
        <v>49</v>
      </c>
      <c r="G47" s="216">
        <v>1</v>
      </c>
      <c r="H47" s="216">
        <f t="shared" si="16"/>
        <v>5.7692307692307696E-2</v>
      </c>
      <c r="I47" s="217">
        <f t="shared" si="17"/>
        <v>0</v>
      </c>
      <c r="J47" s="217">
        <f t="shared" si="18"/>
        <v>0.94230769230769229</v>
      </c>
      <c r="K47" s="54">
        <f t="shared" si="14"/>
        <v>1</v>
      </c>
      <c r="AD47" s="29"/>
    </row>
    <row r="48" spans="1:30" ht="15" customHeight="1" x14ac:dyDescent="0.25">
      <c r="A48" s="369"/>
      <c r="B48" s="41" t="s">
        <v>73</v>
      </c>
      <c r="C48" s="215">
        <v>116</v>
      </c>
      <c r="D48" s="215">
        <v>6</v>
      </c>
      <c r="E48" s="215"/>
      <c r="F48" s="220">
        <f t="shared" si="15"/>
        <v>110</v>
      </c>
      <c r="G48" s="216">
        <v>1</v>
      </c>
      <c r="H48" s="216">
        <f t="shared" si="16"/>
        <v>5.1724137931034482E-2</v>
      </c>
      <c r="I48" s="217">
        <f t="shared" si="17"/>
        <v>0</v>
      </c>
      <c r="J48" s="217">
        <f t="shared" si="18"/>
        <v>0.94827586206896541</v>
      </c>
      <c r="K48" s="54">
        <f t="shared" si="14"/>
        <v>0.99999999999999989</v>
      </c>
      <c r="AD48" s="29"/>
    </row>
    <row r="49" spans="1:30" ht="15" customHeight="1" x14ac:dyDescent="0.25">
      <c r="A49" s="369"/>
      <c r="B49" s="41" t="s">
        <v>181</v>
      </c>
      <c r="C49" s="215">
        <v>66</v>
      </c>
      <c r="D49" s="35">
        <v>4</v>
      </c>
      <c r="E49" s="35"/>
      <c r="F49" s="220">
        <f t="shared" si="15"/>
        <v>62</v>
      </c>
      <c r="G49" s="216">
        <v>1</v>
      </c>
      <c r="H49" s="216">
        <f t="shared" si="16"/>
        <v>6.0606060606060608E-2</v>
      </c>
      <c r="I49" s="217">
        <f t="shared" si="17"/>
        <v>0</v>
      </c>
      <c r="J49" s="217">
        <f t="shared" si="18"/>
        <v>0.93939393939393945</v>
      </c>
      <c r="K49" s="54">
        <f t="shared" si="14"/>
        <v>1</v>
      </c>
      <c r="AD49" s="29"/>
    </row>
    <row r="50" spans="1:30" ht="15" customHeight="1" x14ac:dyDescent="0.25">
      <c r="A50" s="369"/>
      <c r="B50" s="43" t="s">
        <v>77</v>
      </c>
      <c r="C50" s="215">
        <v>17</v>
      </c>
      <c r="D50" s="215">
        <v>0</v>
      </c>
      <c r="E50" s="215"/>
      <c r="F50" s="220">
        <f t="shared" si="15"/>
        <v>17</v>
      </c>
      <c r="G50" s="216">
        <v>1</v>
      </c>
      <c r="H50" s="216">
        <f>D50/C50*G50</f>
        <v>0</v>
      </c>
      <c r="I50" s="217">
        <f t="shared" si="17"/>
        <v>0</v>
      </c>
      <c r="J50" s="217">
        <v>1</v>
      </c>
      <c r="K50" s="54">
        <f t="shared" si="14"/>
        <v>1</v>
      </c>
      <c r="AD50" s="29"/>
    </row>
    <row r="51" spans="1:30" ht="15" customHeight="1" x14ac:dyDescent="0.25">
      <c r="A51" s="369"/>
      <c r="B51" s="43" t="s">
        <v>78</v>
      </c>
      <c r="C51" s="215">
        <v>14</v>
      </c>
      <c r="D51" s="215">
        <v>1</v>
      </c>
      <c r="E51" s="215"/>
      <c r="F51" s="220">
        <f t="shared" si="15"/>
        <v>13</v>
      </c>
      <c r="G51" s="216">
        <v>1</v>
      </c>
      <c r="H51" s="216">
        <f t="shared" si="16"/>
        <v>7.1428571428571425E-2</v>
      </c>
      <c r="I51" s="217">
        <f t="shared" si="17"/>
        <v>0</v>
      </c>
      <c r="J51" s="217">
        <f t="shared" si="18"/>
        <v>0.92857142857142849</v>
      </c>
      <c r="K51" s="54">
        <f t="shared" si="14"/>
        <v>0.99999999999999989</v>
      </c>
      <c r="AD51" s="29"/>
    </row>
    <row r="52" spans="1:30" ht="15" customHeight="1" x14ac:dyDescent="0.25">
      <c r="A52" s="369"/>
      <c r="B52" s="43" t="s">
        <v>81</v>
      </c>
      <c r="C52" s="215">
        <v>104</v>
      </c>
      <c r="D52" s="215">
        <v>3</v>
      </c>
      <c r="E52" s="215"/>
      <c r="F52" s="220">
        <f t="shared" si="15"/>
        <v>101</v>
      </c>
      <c r="G52" s="216">
        <v>1</v>
      </c>
      <c r="H52" s="216">
        <f t="shared" si="16"/>
        <v>2.8846153846153848E-2</v>
      </c>
      <c r="I52" s="217">
        <f t="shared" si="17"/>
        <v>0</v>
      </c>
      <c r="J52" s="217">
        <f t="shared" si="18"/>
        <v>0.97115384615384615</v>
      </c>
      <c r="K52" s="54">
        <f t="shared" si="14"/>
        <v>1</v>
      </c>
      <c r="AD52" s="29"/>
    </row>
    <row r="53" spans="1:30" ht="15" customHeight="1" x14ac:dyDescent="0.25">
      <c r="A53" s="369"/>
      <c r="B53" s="70" t="s">
        <v>89</v>
      </c>
      <c r="C53" s="50">
        <f>SUM(C40:C52)</f>
        <v>1086</v>
      </c>
      <c r="D53" s="50">
        <f>SUM(D40:D52)</f>
        <v>33</v>
      </c>
      <c r="E53" s="50">
        <f>SUM(E40:E52)</f>
        <v>2</v>
      </c>
      <c r="F53" s="50">
        <f>SUM(F40:F52)</f>
        <v>1051</v>
      </c>
      <c r="G53" s="37"/>
      <c r="H53" s="37"/>
      <c r="I53" s="37"/>
      <c r="J53" s="37"/>
      <c r="K53" s="60"/>
      <c r="AD53" s="29"/>
    </row>
    <row r="54" spans="1:30" ht="15" customHeight="1" x14ac:dyDescent="0.25">
      <c r="A54" s="370"/>
      <c r="B54" s="360" t="s">
        <v>167</v>
      </c>
      <c r="C54" s="360"/>
      <c r="D54" s="360"/>
      <c r="E54" s="360"/>
      <c r="F54" s="360"/>
      <c r="G54" s="360" t="s">
        <v>168</v>
      </c>
      <c r="H54" s="360"/>
      <c r="I54" s="360"/>
      <c r="J54" s="360"/>
      <c r="K54" s="360"/>
      <c r="AD54" s="29"/>
    </row>
    <row r="55" spans="1:30" ht="15.75" customHeight="1" x14ac:dyDescent="0.25">
      <c r="A55" s="370"/>
      <c r="B55" s="25" t="s">
        <v>169</v>
      </c>
      <c r="C55" s="25" t="s">
        <v>170</v>
      </c>
      <c r="D55" s="25" t="s">
        <v>183</v>
      </c>
      <c r="E55" s="47" t="s">
        <v>172</v>
      </c>
      <c r="F55" s="25" t="s">
        <v>173</v>
      </c>
      <c r="G55" s="13" t="s">
        <v>174</v>
      </c>
      <c r="H55" s="13" t="s">
        <v>175</v>
      </c>
      <c r="I55" s="72" t="s">
        <v>176</v>
      </c>
      <c r="J55" s="13" t="s">
        <v>177</v>
      </c>
      <c r="K55" s="14" t="s">
        <v>178</v>
      </c>
      <c r="AD55" s="29"/>
    </row>
    <row r="56" spans="1:30" ht="15" customHeight="1" x14ac:dyDescent="0.25">
      <c r="A56" s="369"/>
      <c r="B56" s="31" t="s">
        <v>179</v>
      </c>
      <c r="C56" s="226">
        <v>26</v>
      </c>
      <c r="D56" s="226">
        <v>1</v>
      </c>
      <c r="E56" s="226"/>
      <c r="F56" s="220">
        <f>C56-D56-E56</f>
        <v>25</v>
      </c>
      <c r="G56" s="227">
        <v>1</v>
      </c>
      <c r="H56" s="227">
        <f>D56/C56*G56</f>
        <v>3.8461538461538464E-2</v>
      </c>
      <c r="I56" s="217">
        <f>E56/C56*G56</f>
        <v>0</v>
      </c>
      <c r="J56" s="228">
        <f>F56/D56*H56</f>
        <v>0.96153846153846156</v>
      </c>
      <c r="K56" s="71">
        <f t="shared" ref="K56:K59" si="19">SUM(H56:J56)</f>
        <v>1</v>
      </c>
      <c r="AD56" s="29"/>
    </row>
    <row r="57" spans="1:30" ht="15" customHeight="1" x14ac:dyDescent="0.25">
      <c r="A57" s="369"/>
      <c r="B57" s="41" t="s">
        <v>39</v>
      </c>
      <c r="C57" s="215">
        <v>78</v>
      </c>
      <c r="D57" s="215">
        <v>4</v>
      </c>
      <c r="E57" s="215"/>
      <c r="F57" s="220">
        <f t="shared" ref="F57:F59" si="20">C57-D57-E57</f>
        <v>74</v>
      </c>
      <c r="G57" s="216">
        <v>1</v>
      </c>
      <c r="H57" s="216">
        <f t="shared" ref="H57:H59" si="21">D57/C57*G57</f>
        <v>5.128205128205128E-2</v>
      </c>
      <c r="I57" s="217">
        <f t="shared" ref="I57:I59" si="22">E57/C57*G57</f>
        <v>0</v>
      </c>
      <c r="J57" s="217">
        <f t="shared" ref="J57:J59" si="23">F57/D57*H57</f>
        <v>0.94871794871794868</v>
      </c>
      <c r="K57" s="54">
        <f t="shared" si="19"/>
        <v>1</v>
      </c>
      <c r="AD57" s="29"/>
    </row>
    <row r="58" spans="1:30" ht="15" customHeight="1" x14ac:dyDescent="0.25">
      <c r="A58" s="369"/>
      <c r="B58" s="41" t="s">
        <v>180</v>
      </c>
      <c r="C58" s="215">
        <v>136</v>
      </c>
      <c r="D58" s="215">
        <v>4</v>
      </c>
      <c r="E58" s="215"/>
      <c r="F58" s="220">
        <f t="shared" si="20"/>
        <v>132</v>
      </c>
      <c r="G58" s="216">
        <v>1</v>
      </c>
      <c r="H58" s="216">
        <f t="shared" si="21"/>
        <v>2.9411764705882353E-2</v>
      </c>
      <c r="I58" s="217">
        <f t="shared" si="22"/>
        <v>0</v>
      </c>
      <c r="J58" s="217">
        <f t="shared" si="23"/>
        <v>0.97058823529411764</v>
      </c>
      <c r="K58" s="54">
        <f t="shared" si="19"/>
        <v>1</v>
      </c>
      <c r="AD58" s="29"/>
    </row>
    <row r="59" spans="1:30" ht="15" customHeight="1" x14ac:dyDescent="0.25">
      <c r="A59" s="369"/>
      <c r="B59" s="41" t="s">
        <v>181</v>
      </c>
      <c r="C59" s="215">
        <v>95</v>
      </c>
      <c r="D59" s="215">
        <v>8</v>
      </c>
      <c r="E59" s="215"/>
      <c r="F59" s="220">
        <f t="shared" si="20"/>
        <v>87</v>
      </c>
      <c r="G59" s="216">
        <v>1</v>
      </c>
      <c r="H59" s="216">
        <f t="shared" si="21"/>
        <v>8.4210526315789472E-2</v>
      </c>
      <c r="I59" s="217">
        <f t="shared" si="22"/>
        <v>0</v>
      </c>
      <c r="J59" s="217">
        <f t="shared" si="23"/>
        <v>0.91578947368421049</v>
      </c>
      <c r="K59" s="54">
        <f t="shared" si="19"/>
        <v>1</v>
      </c>
      <c r="AD59" s="29"/>
    </row>
    <row r="60" spans="1:30" ht="15" customHeight="1" x14ac:dyDescent="0.25">
      <c r="A60" s="369"/>
      <c r="B60" s="45" t="s">
        <v>89</v>
      </c>
      <c r="C60" s="50">
        <f>SUM(C56:C59)</f>
        <v>335</v>
      </c>
      <c r="D60" s="50">
        <f>SUM(D56:D59)</f>
        <v>17</v>
      </c>
      <c r="E60" s="50"/>
      <c r="F60" s="50">
        <f>SUM(F56:F59)</f>
        <v>318</v>
      </c>
      <c r="AD60" s="29"/>
    </row>
    <row r="61" spans="1:30" ht="15" customHeight="1" x14ac:dyDescent="0.25">
      <c r="A61" s="369"/>
      <c r="AD61" s="29"/>
    </row>
    <row r="62" spans="1:30" ht="15" customHeight="1" x14ac:dyDescent="0.25">
      <c r="A62" s="370"/>
      <c r="B62" s="360" t="s">
        <v>12</v>
      </c>
      <c r="C62" s="360"/>
      <c r="D62" s="360"/>
      <c r="E62" s="360"/>
      <c r="F62" s="360"/>
      <c r="G62" s="360" t="s">
        <v>168</v>
      </c>
      <c r="H62" s="360"/>
      <c r="I62" s="360"/>
      <c r="J62" s="360"/>
      <c r="K62" s="360"/>
      <c r="AD62" s="29"/>
    </row>
    <row r="63" spans="1:30" ht="15.75" customHeight="1" x14ac:dyDescent="0.25">
      <c r="A63" s="369"/>
      <c r="B63" s="65" t="s">
        <v>169</v>
      </c>
      <c r="C63" s="66" t="s">
        <v>170</v>
      </c>
      <c r="D63" s="66" t="s">
        <v>183</v>
      </c>
      <c r="E63" s="47" t="s">
        <v>172</v>
      </c>
      <c r="F63" s="66" t="s">
        <v>173</v>
      </c>
      <c r="G63" s="67" t="s">
        <v>174</v>
      </c>
      <c r="H63" s="68" t="s">
        <v>175</v>
      </c>
      <c r="I63" s="72" t="s">
        <v>176</v>
      </c>
      <c r="J63" s="69" t="s">
        <v>177</v>
      </c>
      <c r="K63" s="15" t="s">
        <v>178</v>
      </c>
      <c r="AD63" s="29"/>
    </row>
    <row r="64" spans="1:30" ht="15" customHeight="1" x14ac:dyDescent="0.25">
      <c r="A64" s="369"/>
      <c r="B64" s="41" t="s">
        <v>190</v>
      </c>
      <c r="C64" s="215">
        <v>10</v>
      </c>
      <c r="D64" s="215">
        <v>0</v>
      </c>
      <c r="E64" s="215"/>
      <c r="F64" s="220">
        <f>C64-D64-E64</f>
        <v>10</v>
      </c>
      <c r="G64" s="216">
        <v>1</v>
      </c>
      <c r="H64" s="216">
        <f>D64/C64*G64</f>
        <v>0</v>
      </c>
      <c r="I64" s="217">
        <f>E64/C64*G64</f>
        <v>0</v>
      </c>
      <c r="J64" s="217">
        <v>1</v>
      </c>
      <c r="K64" s="54">
        <f t="shared" ref="K64:K73" si="24">SUM(H64:J64)</f>
        <v>1</v>
      </c>
      <c r="AD64" s="29"/>
    </row>
    <row r="65" spans="1:30" ht="15" customHeight="1" x14ac:dyDescent="0.25">
      <c r="A65" s="369"/>
      <c r="B65" s="41" t="s">
        <v>39</v>
      </c>
      <c r="C65" s="215">
        <v>32</v>
      </c>
      <c r="D65" s="215">
        <v>1</v>
      </c>
      <c r="E65" s="215"/>
      <c r="F65" s="220">
        <f t="shared" ref="F65:F73" si="25">C65-D65-E65</f>
        <v>31</v>
      </c>
      <c r="G65" s="216">
        <v>1</v>
      </c>
      <c r="H65" s="216">
        <f t="shared" ref="H65:H73" si="26">D65/C65*G65</f>
        <v>3.125E-2</v>
      </c>
      <c r="I65" s="217">
        <f t="shared" ref="I65:I73" si="27">E65/C65*G65</f>
        <v>0</v>
      </c>
      <c r="J65" s="217">
        <f t="shared" ref="J65:J72" si="28">F65/D65*H65</f>
        <v>0.96875</v>
      </c>
      <c r="K65" s="54">
        <f t="shared" si="24"/>
        <v>1</v>
      </c>
      <c r="AD65" s="29"/>
    </row>
    <row r="66" spans="1:30" ht="15" customHeight="1" x14ac:dyDescent="0.25">
      <c r="A66" s="369"/>
      <c r="B66" s="41" t="s">
        <v>180</v>
      </c>
      <c r="C66" s="215">
        <v>135</v>
      </c>
      <c r="D66" s="215">
        <v>5</v>
      </c>
      <c r="E66" s="215">
        <v>1</v>
      </c>
      <c r="F66" s="220">
        <f t="shared" si="25"/>
        <v>129</v>
      </c>
      <c r="G66" s="216">
        <v>1</v>
      </c>
      <c r="H66" s="216">
        <f t="shared" si="26"/>
        <v>3.7037037037037035E-2</v>
      </c>
      <c r="I66" s="217">
        <f t="shared" si="27"/>
        <v>7.4074074074074077E-3</v>
      </c>
      <c r="J66" s="217">
        <f t="shared" si="28"/>
        <v>0.95555555555555549</v>
      </c>
      <c r="K66" s="54">
        <f t="shared" si="24"/>
        <v>0.99999999999999989</v>
      </c>
      <c r="AD66" s="29"/>
    </row>
    <row r="67" spans="1:30" ht="15" customHeight="1" x14ac:dyDescent="0.25">
      <c r="A67" s="369"/>
      <c r="B67" s="41" t="s">
        <v>185</v>
      </c>
      <c r="C67" s="215">
        <v>17</v>
      </c>
      <c r="D67" s="215">
        <v>0</v>
      </c>
      <c r="E67" s="215"/>
      <c r="F67" s="220">
        <f t="shared" si="25"/>
        <v>17</v>
      </c>
      <c r="G67" s="216">
        <v>1</v>
      </c>
      <c r="H67" s="216">
        <f t="shared" si="26"/>
        <v>0</v>
      </c>
      <c r="I67" s="217">
        <f t="shared" si="27"/>
        <v>0</v>
      </c>
      <c r="J67" s="217">
        <v>1</v>
      </c>
      <c r="K67" s="54">
        <f t="shared" si="24"/>
        <v>1</v>
      </c>
      <c r="AD67" s="29"/>
    </row>
    <row r="68" spans="1:30" ht="15" customHeight="1" x14ac:dyDescent="0.25">
      <c r="A68" s="369"/>
      <c r="B68" s="41" t="s">
        <v>187</v>
      </c>
      <c r="C68" s="215">
        <v>17</v>
      </c>
      <c r="D68" s="215">
        <v>0</v>
      </c>
      <c r="E68" s="215"/>
      <c r="F68" s="220">
        <f t="shared" si="25"/>
        <v>17</v>
      </c>
      <c r="G68" s="216">
        <v>1</v>
      </c>
      <c r="H68" s="216">
        <f t="shared" si="26"/>
        <v>0</v>
      </c>
      <c r="I68" s="217">
        <f t="shared" si="27"/>
        <v>0</v>
      </c>
      <c r="J68" s="217">
        <v>1</v>
      </c>
      <c r="K68" s="54">
        <f t="shared" si="24"/>
        <v>1</v>
      </c>
      <c r="AD68" s="29"/>
    </row>
    <row r="69" spans="1:30" ht="15" customHeight="1" x14ac:dyDescent="0.25">
      <c r="A69" s="369"/>
      <c r="B69" s="41" t="s">
        <v>188</v>
      </c>
      <c r="C69" s="215">
        <v>160</v>
      </c>
      <c r="D69" s="215">
        <v>1</v>
      </c>
      <c r="E69" s="215">
        <v>1</v>
      </c>
      <c r="F69" s="220">
        <f t="shared" si="25"/>
        <v>158</v>
      </c>
      <c r="G69" s="216">
        <v>1</v>
      </c>
      <c r="H69" s="216">
        <f t="shared" si="26"/>
        <v>6.2500000000000003E-3</v>
      </c>
      <c r="I69" s="217">
        <f t="shared" si="27"/>
        <v>6.2500000000000003E-3</v>
      </c>
      <c r="J69" s="217">
        <f t="shared" si="28"/>
        <v>0.98750000000000004</v>
      </c>
      <c r="K69" s="54">
        <f t="shared" si="24"/>
        <v>1</v>
      </c>
      <c r="AD69" s="29"/>
    </row>
    <row r="70" spans="1:30" ht="15" customHeight="1" x14ac:dyDescent="0.25">
      <c r="A70" s="369"/>
      <c r="B70" s="41" t="s">
        <v>73</v>
      </c>
      <c r="C70" s="215">
        <v>51</v>
      </c>
      <c r="D70" s="215">
        <v>3</v>
      </c>
      <c r="E70" s="215"/>
      <c r="F70" s="220">
        <f t="shared" si="25"/>
        <v>48</v>
      </c>
      <c r="G70" s="216">
        <v>1</v>
      </c>
      <c r="H70" s="216">
        <f t="shared" si="26"/>
        <v>5.8823529411764705E-2</v>
      </c>
      <c r="I70" s="217">
        <f t="shared" si="27"/>
        <v>0</v>
      </c>
      <c r="J70" s="217">
        <f t="shared" si="28"/>
        <v>0.94117647058823528</v>
      </c>
      <c r="K70" s="54">
        <f t="shared" si="24"/>
        <v>1</v>
      </c>
      <c r="AD70" s="29"/>
    </row>
    <row r="71" spans="1:30" ht="15" customHeight="1" x14ac:dyDescent="0.25">
      <c r="A71" s="369"/>
      <c r="B71" s="41" t="s">
        <v>181</v>
      </c>
      <c r="C71" s="215">
        <v>56</v>
      </c>
      <c r="D71" s="215">
        <v>3</v>
      </c>
      <c r="E71" s="215"/>
      <c r="F71" s="220">
        <f t="shared" si="25"/>
        <v>53</v>
      </c>
      <c r="G71" s="216">
        <v>1</v>
      </c>
      <c r="H71" s="216">
        <f t="shared" si="26"/>
        <v>5.3571428571428568E-2</v>
      </c>
      <c r="I71" s="217">
        <f t="shared" si="27"/>
        <v>0</v>
      </c>
      <c r="J71" s="217">
        <f t="shared" si="28"/>
        <v>0.9464285714285714</v>
      </c>
      <c r="K71" s="54">
        <f t="shared" si="24"/>
        <v>1</v>
      </c>
      <c r="AD71" s="29"/>
    </row>
    <row r="72" spans="1:30" ht="15" customHeight="1" x14ac:dyDescent="0.25">
      <c r="A72" s="369"/>
      <c r="B72" s="43" t="s">
        <v>77</v>
      </c>
      <c r="C72" s="215">
        <v>8</v>
      </c>
      <c r="D72" s="215">
        <v>1</v>
      </c>
      <c r="E72" s="215"/>
      <c r="F72" s="220">
        <f t="shared" si="25"/>
        <v>7</v>
      </c>
      <c r="G72" s="216">
        <v>1</v>
      </c>
      <c r="H72" s="216">
        <f t="shared" si="26"/>
        <v>0.125</v>
      </c>
      <c r="I72" s="217">
        <f t="shared" si="27"/>
        <v>0</v>
      </c>
      <c r="J72" s="217">
        <f t="shared" si="28"/>
        <v>0.875</v>
      </c>
      <c r="K72" s="54">
        <f t="shared" si="24"/>
        <v>1</v>
      </c>
      <c r="AD72" s="29"/>
    </row>
    <row r="73" spans="1:30" ht="15" customHeight="1" x14ac:dyDescent="0.25">
      <c r="A73" s="371"/>
      <c r="B73" s="44" t="s">
        <v>78</v>
      </c>
      <c r="C73" s="35">
        <v>6</v>
      </c>
      <c r="D73" s="35">
        <v>0</v>
      </c>
      <c r="E73" s="35"/>
      <c r="F73" s="220">
        <f t="shared" si="25"/>
        <v>6</v>
      </c>
      <c r="G73" s="216">
        <v>1</v>
      </c>
      <c r="H73" s="216">
        <f t="shared" si="26"/>
        <v>0</v>
      </c>
      <c r="I73" s="217">
        <f t="shared" si="27"/>
        <v>0</v>
      </c>
      <c r="J73" s="217">
        <v>1</v>
      </c>
      <c r="K73" s="54">
        <f t="shared" si="24"/>
        <v>1</v>
      </c>
      <c r="AD73" s="29"/>
    </row>
    <row r="74" spans="1:30" x14ac:dyDescent="0.25">
      <c r="A74" s="28"/>
      <c r="B74" s="45" t="s">
        <v>89</v>
      </c>
      <c r="C74" s="50">
        <f>SUM(C64:C73)</f>
        <v>492</v>
      </c>
      <c r="D74" s="50">
        <f>SUM(D64:D73)</f>
        <v>14</v>
      </c>
      <c r="E74" s="50">
        <f>SUM(E64:E73)</f>
        <v>2</v>
      </c>
      <c r="F74" s="50">
        <f>SUM(F64:F73)</f>
        <v>476</v>
      </c>
      <c r="AD74" s="29"/>
    </row>
    <row r="75" spans="1:30" x14ac:dyDescent="0.25">
      <c r="A75" s="28"/>
      <c r="AD75" s="29"/>
    </row>
    <row r="76" spans="1:30" x14ac:dyDescent="0.25">
      <c r="A76" s="63">
        <v>1</v>
      </c>
      <c r="B76" s="64" t="s">
        <v>192</v>
      </c>
      <c r="C76" s="11">
        <f>SUM(C35+C24+C8+C53+C60+C74)</f>
        <v>2922</v>
      </c>
      <c r="AD76" s="29"/>
    </row>
    <row r="77" spans="1:30" x14ac:dyDescent="0.25">
      <c r="A77" s="61">
        <v>2</v>
      </c>
      <c r="B77" s="61" t="s">
        <v>193</v>
      </c>
      <c r="C77" s="46">
        <f>C53+C60+C74</f>
        <v>1913</v>
      </c>
      <c r="AD77" s="29"/>
    </row>
    <row r="78" spans="1:30" x14ac:dyDescent="0.25">
      <c r="A78" s="368" t="s">
        <v>89</v>
      </c>
      <c r="B78" s="368"/>
      <c r="C78" s="62">
        <f>SUM(C76:C77)</f>
        <v>4835</v>
      </c>
      <c r="AD78" s="29"/>
    </row>
    <row r="79" spans="1:30" x14ac:dyDescent="0.25">
      <c r="A79" s="28"/>
      <c r="AD79" s="29"/>
    </row>
    <row r="80" spans="1:30" x14ac:dyDescent="0.25">
      <c r="A80" s="28"/>
      <c r="AD80" s="29"/>
    </row>
    <row r="81" spans="1:30" x14ac:dyDescent="0.25">
      <c r="A81" s="32"/>
      <c r="B81" s="30"/>
      <c r="C81" s="30"/>
      <c r="D81" s="30"/>
      <c r="E81" s="30"/>
      <c r="F81" s="30"/>
      <c r="G81" s="30"/>
      <c r="H81" s="30"/>
      <c r="I81" s="30"/>
      <c r="J81" s="30"/>
      <c r="K81" s="30"/>
      <c r="L81" s="30"/>
      <c r="M81" s="30"/>
      <c r="N81" s="30"/>
      <c r="O81" s="30"/>
      <c r="P81" s="30"/>
      <c r="Q81" s="30"/>
      <c r="R81" s="30"/>
      <c r="S81" s="30"/>
      <c r="T81" s="30"/>
      <c r="U81" s="30"/>
      <c r="V81" s="30"/>
      <c r="W81" s="30"/>
      <c r="X81" s="30"/>
      <c r="Y81" s="30"/>
      <c r="Z81" s="30"/>
      <c r="AA81" s="30"/>
      <c r="AB81" s="30"/>
      <c r="AC81" s="30"/>
      <c r="AD81" s="31"/>
    </row>
  </sheetData>
  <mergeCells count="16">
    <mergeCell ref="A78:B78"/>
    <mergeCell ref="A39:A73"/>
    <mergeCell ref="B54:F54"/>
    <mergeCell ref="B62:F62"/>
    <mergeCell ref="B38:F38"/>
    <mergeCell ref="G2:K2"/>
    <mergeCell ref="A2:A3"/>
    <mergeCell ref="G62:K62"/>
    <mergeCell ref="G54:K54"/>
    <mergeCell ref="G38:K38"/>
    <mergeCell ref="G25:K25"/>
    <mergeCell ref="G10:K10"/>
    <mergeCell ref="B2:F2"/>
    <mergeCell ref="B10:F10"/>
    <mergeCell ref="B25:F25"/>
    <mergeCell ref="A4:A34"/>
  </mergeCells>
  <pageMargins left="0.7" right="0.7" top="0.75" bottom="0.75" header="0.3" footer="0.3"/>
  <ignoredErrors>
    <ignoredError sqref="J45" evalError="1"/>
  </ignoredErrors>
  <drawing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AFA95E1060B5AE429F1B8234538F34ED" ma:contentTypeVersion="3" ma:contentTypeDescription="Crear nuevo documento." ma:contentTypeScope="" ma:versionID="dcc4702e23bed97aca942fef8189a410">
  <xsd:schema xmlns:xsd="http://www.w3.org/2001/XMLSchema" xmlns:xs="http://www.w3.org/2001/XMLSchema" xmlns:p="http://schemas.microsoft.com/office/2006/metadata/properties" xmlns:ns2="3c8d656d-5717-49e4-9510-7816d0b3800a" targetNamespace="http://schemas.microsoft.com/office/2006/metadata/properties" ma:root="true" ma:fieldsID="1a9888f99c7b9f9d23ca3e55ae047125" ns2:_="">
    <xsd:import namespace="3c8d656d-5717-49e4-9510-7816d0b3800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c8d656d-5717-49e4-9510-7816d0b3800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AE621556-BDB0-49FB-AEBC-BC7520E708A2}">
  <ds:schemaRefs>
    <ds:schemaRef ds:uri="http://schemas.microsoft.com/office/2006/metadata/properties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47BB473F-7601-450B-8467-425FDB2E93CE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FB07EA7C-76C0-4FFB-BC97-CE76A1AC98D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3c8d656d-5717-49e4-9510-7816d0b3800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PRIMER CICLO</vt:lpstr>
      <vt:lpstr>SEGUNDO CICLO</vt:lpstr>
      <vt:lpstr>HOJA RESUMEN 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Autonoma</dc:creator>
  <cp:keywords/>
  <dc:description/>
  <cp:lastModifiedBy>GIOVANI_CESPEDES</cp:lastModifiedBy>
  <cp:revision/>
  <dcterms:created xsi:type="dcterms:W3CDTF">2025-09-03T13:06:31Z</dcterms:created>
  <dcterms:modified xsi:type="dcterms:W3CDTF">2026-04-29T14:20:47Z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0x010100AFA95E1060B5AE429F1B8234538F34ED</vt:lpwstr>
  </property>
  <property fmtid="{D5CDD505-2E9C-101B-9397-08002B2CF9AE}" pid="3" name="Order">
    <vt:r8>1449800</vt:r8>
  </property>
  <property fmtid="{D5CDD505-2E9C-101B-9397-08002B2CF9AE}" pid="4" name="TriggerFlowInfo">
    <vt:lpwstr/>
  </property>
  <property fmtid="{D5CDD505-2E9C-101B-9397-08002B2CF9AE}" pid="5" name="_SourceUrl">
    <vt:lpwstr/>
  </property>
  <property fmtid="{D5CDD505-2E9C-101B-9397-08002B2CF9AE}" pid="6" name="_SharedFileIndex">
    <vt:lpwstr/>
  </property>
  <property fmtid="{D5CDD505-2E9C-101B-9397-08002B2CF9AE}" pid="7" name="ComplianceAssetId">
    <vt:lpwstr/>
  </property>
  <property fmtid="{D5CDD505-2E9C-101B-9397-08002B2CF9AE}" pid="8" name="_activity">
    <vt:lpwstr>{"FileActivityType":"9","FileActivityTimeStamp":"2025-11-24T15:49:01.780Z","FileActivityUsersOnPage":[{"DisplayName":"Estudios Generales Sede","Id":"estudiosgenerales@autonomadeica.edu.pe"}],"FileActivityNavigationId":null}</vt:lpwstr>
  </property>
  <property fmtid="{D5CDD505-2E9C-101B-9397-08002B2CF9AE}" pid="9" name="_ExtendedDescription">
    <vt:lpwstr/>
  </property>
</Properties>
</file>